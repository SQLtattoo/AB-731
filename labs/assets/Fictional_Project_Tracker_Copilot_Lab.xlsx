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mos\AB-730-Labs\assets\"/>
    </mc:Choice>
  </mc:AlternateContent>
  <xr:revisionPtr revIDLastSave="0" documentId="13_ncr:101_{C1ACB8B1-CA75-42AB-8F06-17E6885FCFB1}" xr6:coauthVersionLast="47" xr6:coauthVersionMax="47" xr10:uidLastSave="{00000000-0000-0000-0000-000000000000}"/>
  <bookViews>
    <workbookView xWindow="41085" yWindow="2685" windowWidth="28800" windowHeight="15825" xr2:uid="{00000000-000D-0000-FFFF-FFFF00000000}"/>
  </bookViews>
  <sheets>
    <sheet name="Project Overview" sheetId="1" r:id="rId1"/>
    <sheet name="Task Tracker" sheetId="2" r:id="rId2"/>
    <sheet name="Milestones" sheetId="3" r:id="rId3"/>
    <sheet name="Risks &amp; Issues" sheetId="4" r:id="rId4"/>
    <sheet name="Weekly Updates" sheetId="5" r:id="rId5"/>
    <sheet name="Prompt Lab" sheetId="6" r:id="rId6"/>
    <sheet name="_Chart Data" sheetId="7" state="hidden" r:id="rId7"/>
  </sheet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7" l="1"/>
  <c r="E11" i="7"/>
  <c r="E10" i="7"/>
  <c r="E9" i="7"/>
  <c r="E8" i="7"/>
  <c r="E7" i="7"/>
  <c r="E6" i="7"/>
  <c r="E5" i="7"/>
  <c r="B5" i="7"/>
  <c r="E4" i="7"/>
  <c r="B4" i="7"/>
  <c r="E3" i="7"/>
  <c r="B3" i="7"/>
  <c r="E2" i="7"/>
  <c r="B2" i="7"/>
  <c r="G13" i="1"/>
  <c r="F13" i="1"/>
  <c r="E13" i="1"/>
  <c r="D13" i="1"/>
  <c r="C13" i="1"/>
  <c r="B13" i="1"/>
  <c r="A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Training Designer</author>
  </authors>
  <commentList>
    <comment ref="B5" authorId="0" shapeId="0" xr:uid="{00000000-0006-0000-0400-000001000000}">
      <text>
        <r>
          <rPr>
            <sz val="11"/>
            <color theme="1"/>
            <rFont val="Calibri"/>
            <family val="2"/>
            <scheme val="minor"/>
          </rPr>
          <t>Intentionally blank for the learner to ask Copilot to infer a suggested status from the tracker evidence, while distinguishing fact from recommendation.</t>
        </r>
      </text>
    </comment>
  </commentList>
</comments>
</file>

<file path=xl/sharedStrings.xml><?xml version="1.0" encoding="utf-8"?>
<sst xmlns="http://schemas.openxmlformats.org/spreadsheetml/2006/main" count="605" uniqueCount="351">
  <si>
    <t>NORTHSTAR CUSTOMER PORTAL | PROJECT TRACKER</t>
  </si>
  <si>
    <t>FICTIONAL TRAINING DATA • Status date: 1 October 2026</t>
  </si>
  <si>
    <t>Project goal</t>
  </si>
  <si>
    <t>Replace the legacy customer support portal with a secure, mobile-friendly self-service experience.</t>
  </si>
  <si>
    <t>Business outcome</t>
  </si>
  <si>
    <t>Reduce avoidable support contacts and improve customer visibility into case progress.</t>
  </si>
  <si>
    <t>Project manager</t>
  </si>
  <si>
    <t>Maya Chen (fictional)</t>
  </si>
  <si>
    <t>Executive sponsor</t>
  </si>
  <si>
    <t>Elena Rossi (fictional)</t>
  </si>
  <si>
    <t>Target launch</t>
  </si>
  <si>
    <t>30 October 2026</t>
  </si>
  <si>
    <t>Reporting cadence</t>
  </si>
  <si>
    <t>Weekly, every Thursday</t>
  </si>
  <si>
    <t>Portfolio snapshot</t>
  </si>
  <si>
    <t>Total tasks</t>
  </si>
  <si>
    <t>Complete</t>
  </si>
  <si>
    <t>In progress</t>
  </si>
  <si>
    <t>Blocked</t>
  </si>
  <si>
    <t>Not started</t>
  </si>
  <si>
    <t>Overdue open</t>
  </si>
  <si>
    <t>Avg. completion</t>
  </si>
  <si>
    <t>Current narrative</t>
  </si>
  <si>
    <t>Overall status</t>
  </si>
  <si>
    <t>AT RISK</t>
  </si>
  <si>
    <t>Two launch-critical items are blocked and user acceptance testing started later than planned.</t>
  </si>
  <si>
    <t>Latest progress</t>
  </si>
  <si>
    <t>Mixed</t>
  </si>
  <si>
    <t>Authentication defects decreased, content migration passed its first quality review, and pilot training materials are drafted.</t>
  </si>
  <si>
    <t>Top concern</t>
  </si>
  <si>
    <t>Decision needed</t>
  </si>
  <si>
    <t>The team needs a decision on whether to launch reporting in phase 1 or defer it to the November service update.</t>
  </si>
  <si>
    <t>Next checkpoint</t>
  </si>
  <si>
    <t>8 October 2026</t>
  </si>
  <si>
    <t>Review UAT defect trend, confirm reporting scope, and approve the customer communication draft.</t>
  </si>
  <si>
    <t>Suggested learner task</t>
  </si>
  <si>
    <t>Ask Copilot to prepare a concise weekly status update for the steering committee. Require: overall RAG status with evidence, completed work, next milestones, top risks/issues with owners and mitigations, decisions needed, and any conflicting or stale data it notices.</t>
  </si>
  <si>
    <t>Task ID</t>
  </si>
  <si>
    <t>Workstream</t>
  </si>
  <si>
    <t>Task</t>
  </si>
  <si>
    <t>Owner</t>
  </si>
  <si>
    <t>Priority</t>
  </si>
  <si>
    <t>Health</t>
  </si>
  <si>
    <t>Type</t>
  </si>
  <si>
    <t>Status</t>
  </si>
  <si>
    <t>% Complete</t>
  </si>
  <si>
    <t>Start Date</t>
  </si>
  <si>
    <t>Due Date</t>
  </si>
  <si>
    <t>Dependency</t>
  </si>
  <si>
    <t>Last Update</t>
  </si>
  <si>
    <t>Update / Evidence</t>
  </si>
  <si>
    <t>Next Step</t>
  </si>
  <si>
    <t>Decision Needed</t>
  </si>
  <si>
    <t>NS-001</t>
  </si>
  <si>
    <t>Program Management</t>
  </si>
  <si>
    <t>Confirm scope and success measures</t>
  </si>
  <si>
    <t>Maya Chen</t>
  </si>
  <si>
    <t>High</t>
  </si>
  <si>
    <t>Green</t>
  </si>
  <si>
    <t>Milestone</t>
  </si>
  <si>
    <t>Scope and KPIs approved by sponsor.</t>
  </si>
  <si>
    <t>Archive baseline.</t>
  </si>
  <si>
    <t>NS-002</t>
  </si>
  <si>
    <t>Experience</t>
  </si>
  <si>
    <t>Approve information architecture</t>
  </si>
  <si>
    <t>Noah Williams</t>
  </si>
  <si>
    <t>Deliverable</t>
  </si>
  <si>
    <t>Navigation model approved after two customer interviews.</t>
  </si>
  <si>
    <t>None.</t>
  </si>
  <si>
    <t>NS-003</t>
  </si>
  <si>
    <t>Complete responsive visual design</t>
  </si>
  <si>
    <t>Aisha Khan</t>
  </si>
  <si>
    <t>Amber</t>
  </si>
  <si>
    <t>In Progress</t>
  </si>
  <si>
    <t>Mobile error-state screens remain under review.</t>
  </si>
  <si>
    <t>Close feedback by 5 Oct.</t>
  </si>
  <si>
    <t>Approve current error-state pattern.</t>
  </si>
  <si>
    <t>NS-004</t>
  </si>
  <si>
    <t>Platform</t>
  </si>
  <si>
    <t>Provision production environment</t>
  </si>
  <si>
    <t>Leo Martins</t>
  </si>
  <si>
    <t>Production subscription, networking, and monitoring workspace created.</t>
  </si>
  <si>
    <t>NS-005</t>
  </si>
  <si>
    <t>Implement customer authentication</t>
  </si>
  <si>
    <t>Sofia Petrou</t>
  </si>
  <si>
    <t>Critical</t>
  </si>
  <si>
    <t>Token refresh defect reproduced; fix is in code review.</t>
  </si>
  <si>
    <t>Deploy fix to UAT by 2 Oct.</t>
  </si>
  <si>
    <t>NS-006</t>
  </si>
  <si>
    <t>Data</t>
  </si>
  <si>
    <t>Build customer profile API</t>
  </si>
  <si>
    <t>Owen Brooks</t>
  </si>
  <si>
    <t>API passed functional and throttling tests.</t>
  </si>
  <si>
    <t>Monitor during UAT.</t>
  </si>
  <si>
    <t>NS-007</t>
  </si>
  <si>
    <t>Build case history API</t>
  </si>
  <si>
    <t>Red</t>
  </si>
  <si>
    <t>Blocked by missing field mapping from the legacy service team.</t>
  </si>
  <si>
    <t>Escalate mapping request to service owner.</t>
  </si>
  <si>
    <t>Confirm whether two legacy fields can be excluded from launch.</t>
  </si>
  <si>
    <t>NS-008</t>
  </si>
  <si>
    <t>Develop portal shell and navigation</t>
  </si>
  <si>
    <t>Emma Dubois</t>
  </si>
  <si>
    <t>NS-002; NS-004</t>
  </si>
  <si>
    <t>Portal shell deployed to UAT.</t>
  </si>
  <si>
    <t>Address defects raised in UAT.</t>
  </si>
  <si>
    <t>NS-009</t>
  </si>
  <si>
    <t>Develop case search and filters</t>
  </si>
  <si>
    <t>NS-007; NS-008</t>
  </si>
  <si>
    <t>Search works with test data; production-like case data is unavailable.</t>
  </si>
  <si>
    <t>Retest after case API is unblocked.</t>
  </si>
  <si>
    <t>NS-010</t>
  </si>
  <si>
    <t>Reporting</t>
  </si>
  <si>
    <t>Build service usage dashboard</t>
  </si>
  <si>
    <t>Daniel Kim</t>
  </si>
  <si>
    <t>Medium</t>
  </si>
  <si>
    <t>NS-006; Analytics contract</t>
  </si>
  <si>
    <t>Analytics event contract is not approved; dashboard measures may change.</t>
  </si>
  <si>
    <t>Present phase options to steering committee.</t>
  </si>
  <si>
    <t>Launch reporting in phase 1 or defer to November?</t>
  </si>
  <si>
    <t>NS-011</t>
  </si>
  <si>
    <t>Security</t>
  </si>
  <si>
    <t>Complete threat model</t>
  </si>
  <si>
    <t>Rina Patel</t>
  </si>
  <si>
    <t>Control</t>
  </si>
  <si>
    <t>Threat model approved with four mitigations tracked in backlog.</t>
  </si>
  <si>
    <t>Verify mitigations before production approval.</t>
  </si>
  <si>
    <t>NS-012</t>
  </si>
  <si>
    <t>Run penetration test</t>
  </si>
  <si>
    <t>NS-005; NS-007; NS-008</t>
  </si>
  <si>
    <t>Testing started on available flows; case history coverage is pending.</t>
  </si>
  <si>
    <t>Complete retest after API integration.</t>
  </si>
  <si>
    <t>NS-013</t>
  </si>
  <si>
    <t>Quality</t>
  </si>
  <si>
    <t>Prepare UAT test plan</t>
  </si>
  <si>
    <t>Grace Miller</t>
  </si>
  <si>
    <t>Test plan covers 42 business scenarios.</t>
  </si>
  <si>
    <t>Maintain traceability to defects.</t>
  </si>
  <si>
    <t>NS-014</t>
  </si>
  <si>
    <t>Execute UAT cycle 1</t>
  </si>
  <si>
    <t>NS-005; NS-007; NS-008; NS-013</t>
  </si>
  <si>
    <t>23 of 42 scenarios passed; five blocked by case history data.</t>
  </si>
  <si>
    <t>Finish available tests and isolate blocked cases.</t>
  </si>
  <si>
    <t>NS-015</t>
  </si>
  <si>
    <t>Resolve priority 1 and 2 defects</t>
  </si>
  <si>
    <t>One priority 1 and three priority 2 defects remain open.</t>
  </si>
  <si>
    <t>Run daily defect triage.</t>
  </si>
  <si>
    <t>NS-016</t>
  </si>
  <si>
    <t>Content</t>
  </si>
  <si>
    <t>Migrate top 50 knowledge articles</t>
  </si>
  <si>
    <t>Liam Murphy</t>
  </si>
  <si>
    <t>Content export</t>
  </si>
  <si>
    <t>41 articles migrated; first quality sample passed.</t>
  </si>
  <si>
    <t>Migrate remaining nine articles.</t>
  </si>
  <si>
    <t>NS-017</t>
  </si>
  <si>
    <t>Approve support contact content</t>
  </si>
  <si>
    <t>Not Started</t>
  </si>
  <si>
    <t>Legal reviewer availability is not yet confirmed.</t>
  </si>
  <si>
    <t>Book review session.</t>
  </si>
  <si>
    <t>NS-018</t>
  </si>
  <si>
    <t>Change</t>
  </si>
  <si>
    <t>Draft service desk training</t>
  </si>
  <si>
    <t>Chloe Bernard</t>
  </si>
  <si>
    <t>Facilitator guide and demo script drafted.</t>
  </si>
  <si>
    <t>Add case history demo when API is ready.</t>
  </si>
  <si>
    <t>NS-019</t>
  </si>
  <si>
    <t>Deliver service desk pilot</t>
  </si>
  <si>
    <t>NS-018; Stable UAT build</t>
  </si>
  <si>
    <t>Pilot audience confirmed for 12 October.</t>
  </si>
  <si>
    <t>Confirm stable build by 8 Oct.</t>
  </si>
  <si>
    <t>NS-020</t>
  </si>
  <si>
    <t>Create customer launch communication</t>
  </si>
  <si>
    <t>Ben Carter</t>
  </si>
  <si>
    <t>Launch scope</t>
  </si>
  <si>
    <t>Draft created; reporting claims depend on the scope decision.</t>
  </si>
  <si>
    <t>Prepare two versions for phase 1 options.</t>
  </si>
  <si>
    <t>NS-021</t>
  </si>
  <si>
    <t>Operations</t>
  </si>
  <si>
    <t>Complete support runbook</t>
  </si>
  <si>
    <t>Nadia Ionescu</t>
  </si>
  <si>
    <t>NS-006; NS-007</t>
  </si>
  <si>
    <t>Escalation paths and profile API procedures complete.</t>
  </si>
  <si>
    <t>Add case API troubleshooting section.</t>
  </si>
  <si>
    <t>NS-022</t>
  </si>
  <si>
    <t>Configure production alerts</t>
  </si>
  <si>
    <t>Availability and authentication alerts configured.</t>
  </si>
  <si>
    <t>Add business transaction alerts.</t>
  </si>
  <si>
    <t>NS-023</t>
  </si>
  <si>
    <t>Run disaster recovery exercise</t>
  </si>
  <si>
    <t>NS-021; NS-022</t>
  </si>
  <si>
    <t>Scenario and participants identified.</t>
  </si>
  <si>
    <t>Finalize exercise script.</t>
  </si>
  <si>
    <t>NS-024</t>
  </si>
  <si>
    <t>Confirm go/no-go criteria</t>
  </si>
  <si>
    <t>Decision</t>
  </si>
  <si>
    <t>NS-012; NS-014; NS-015</t>
  </si>
  <si>
    <t>Draft criteria reviewed; defect thresholds need sponsor approval.</t>
  </si>
  <si>
    <t>Review thresholds on 8 Oct.</t>
  </si>
  <si>
    <t>Approve maximum acceptable priority 2 defects.</t>
  </si>
  <si>
    <t>NS-025</t>
  </si>
  <si>
    <t>Conduct go/no-go review</t>
  </si>
  <si>
    <t>Elena Rossi</t>
  </si>
  <si>
    <t>Meeting placeholder held.</t>
  </si>
  <si>
    <t>Prepare evidence pack.</t>
  </si>
  <si>
    <t>NS-026</t>
  </si>
  <si>
    <t>Release</t>
  </si>
  <si>
    <t>Production deployment</t>
  </si>
  <si>
    <t>NS-012; NS-015; NS-025</t>
  </si>
  <si>
    <t>Deployment plan drafted.</t>
  </si>
  <si>
    <t>Rehearse rollback sequence.</t>
  </si>
  <si>
    <t>NS-027</t>
  </si>
  <si>
    <t>Customer portal launch</t>
  </si>
  <si>
    <t>NS-019; NS-020; NS-026</t>
  </si>
  <si>
    <t>Launch remains targeted for 30 October; confidence depends on API and UAT recovery.</t>
  </si>
  <si>
    <t>Track critical path daily.</t>
  </si>
  <si>
    <t>NS-028</t>
  </si>
  <si>
    <t>Publish weekly steering status</t>
  </si>
  <si>
    <t>All workstreams</t>
  </si>
  <si>
    <t>Last update sent on 25 September; next update due 1 October.</t>
  </si>
  <si>
    <t>Use this tracker to draft the 1 October update.</t>
  </si>
  <si>
    <t>Baseline Date</t>
  </si>
  <si>
    <t>Forecast Date</t>
  </si>
  <si>
    <t>Confidence</t>
  </si>
  <si>
    <t>Exit Criteria</t>
  </si>
  <si>
    <t>Comment</t>
  </si>
  <si>
    <t>Design complete</t>
  </si>
  <si>
    <t>At Risk</t>
  </si>
  <si>
    <t>All responsive screens approved</t>
  </si>
  <si>
    <t>Mobile error-state approval pending.</t>
  </si>
  <si>
    <t>UAT cycle 1 complete</t>
  </si>
  <si>
    <t>Low</t>
  </si>
  <si>
    <t>42 scenarios executed; blockers documented</t>
  </si>
  <si>
    <t>Five scenarios blocked by case history data.</t>
  </si>
  <si>
    <t>Security approval</t>
  </si>
  <si>
    <t>No open critical findings</t>
  </si>
  <si>
    <t>Coverage depends on case history API.</t>
  </si>
  <si>
    <t>Service desk pilot</t>
  </si>
  <si>
    <t>On Track</t>
  </si>
  <si>
    <t>Pilot delivered and feedback logged</t>
  </si>
  <si>
    <t>Stable build needed by 8 October.</t>
  </si>
  <si>
    <t>Go/no-go review</t>
  </si>
  <si>
    <t>Evidence accepted and decision recorded</t>
  </si>
  <si>
    <t>Threshold approval required first.</t>
  </si>
  <si>
    <t>Deployment and smoke tests complete</t>
  </si>
  <si>
    <t>Rollback rehearsal not yet run.</t>
  </si>
  <si>
    <t>Customer launch</t>
  </si>
  <si>
    <t>Portal available and communications sent</t>
  </si>
  <si>
    <t>Date unchanged, but critical-path recovery is required.</t>
  </si>
  <si>
    <t>ID</t>
  </si>
  <si>
    <t>Category</t>
  </si>
  <si>
    <t>Description</t>
  </si>
  <si>
    <t>Impact</t>
  </si>
  <si>
    <t>Probability</t>
  </si>
  <si>
    <t>Rating</t>
  </si>
  <si>
    <t>Mitigation / Recovery</t>
  </si>
  <si>
    <t>State</t>
  </si>
  <si>
    <t>Escalation / Decision</t>
  </si>
  <si>
    <t>RI-01</t>
  </si>
  <si>
    <t>Issue</t>
  </si>
  <si>
    <t>Legacy field mapping for the case history API is incomplete.</t>
  </si>
  <si>
    <t>Daily working session with legacy service team; propose excluding two low-use fields.</t>
  </si>
  <si>
    <t>Open</t>
  </si>
  <si>
    <t>Approve reduced launch field set if mapping is not received.</t>
  </si>
  <si>
    <t>RI-02</t>
  </si>
  <si>
    <t>Scope</t>
  </si>
  <si>
    <t>Analytics event contract is not approved.</t>
  </si>
  <si>
    <t>Prepare phase 1 and deferred reporting options.</t>
  </si>
  <si>
    <t>Choose reporting scope for launch.</t>
  </si>
  <si>
    <t>RI-03</t>
  </si>
  <si>
    <t>Schedule</t>
  </si>
  <si>
    <t>Risk</t>
  </si>
  <si>
    <t>UAT may not finish with enough time for defect retesting.</t>
  </si>
  <si>
    <t>Extend daily test window and prioritize critical journeys.</t>
  </si>
  <si>
    <t>Accept revised UAT forecast.</t>
  </si>
  <si>
    <t>RI-04</t>
  </si>
  <si>
    <t>Penetration test coverage may be incomplete while the case API is blocked.</t>
  </si>
  <si>
    <t>Test available flows now and reserve a focused retest slot.</t>
  </si>
  <si>
    <t>None currently.</t>
  </si>
  <si>
    <t>RI-05</t>
  </si>
  <si>
    <t>Service desk pilot could use an unstable build.</t>
  </si>
  <si>
    <t>Set build cutoff for 8 October and use recorded fallback demo.</t>
  </si>
  <si>
    <t>Confirm pilot go/no-go on 8 October.</t>
  </si>
  <si>
    <t>RI-06</t>
  </si>
  <si>
    <t>Legal review availability may delay support contact content.</t>
  </si>
  <si>
    <t>Book backup reviewer and prepare existing-approved wording.</t>
  </si>
  <si>
    <t>Escalate if no reviewer by 2 October.</t>
  </si>
  <si>
    <t>RI-07</t>
  </si>
  <si>
    <t>One priority 1 authentication defect remains open.</t>
  </si>
  <si>
    <t>Fix is in review; deploy to UAT and run targeted regression.</t>
  </si>
  <si>
    <t>RI-08</t>
  </si>
  <si>
    <t>Runbook lacks case API troubleshooting steps.</t>
  </si>
  <si>
    <t>Draft placeholder procedure and update after API recovery.</t>
  </si>
  <si>
    <t>RI-09</t>
  </si>
  <si>
    <t>Adoption</t>
  </si>
  <si>
    <t>Customer communication may overstate launch reporting capabilities.</t>
  </si>
  <si>
    <t>Maintain two communication versions until scope decision.</t>
  </si>
  <si>
    <t>Use wording aligned to final scope.</t>
  </si>
  <si>
    <t>RI-10</t>
  </si>
  <si>
    <t>Resources</t>
  </si>
  <si>
    <t>The data lead is unavailable 5 to 7 October.</t>
  </si>
  <si>
    <t>Assign Sofia as technical backup and document handover.</t>
  </si>
  <si>
    <t>Mitigating</t>
  </si>
  <si>
    <t>Confirm handover complete.</t>
  </si>
  <si>
    <t>Update Date</t>
  </si>
  <si>
    <t>Overall Status</t>
  </si>
  <si>
    <t>Accomplishments</t>
  </si>
  <si>
    <t>Challenges / Changes</t>
  </si>
  <si>
    <t>Next Week</t>
  </si>
  <si>
    <t>Decisions / Asks</t>
  </si>
  <si>
    <t>Portal shell deployed to UAT; profile API passed testing; UAT plan completed.</t>
  </si>
  <si>
    <t>Case history mapping workshop moved by three days.</t>
  </si>
  <si>
    <t>Start integrated testing and migrate first content batch.</t>
  </si>
  <si>
    <t>First 20 articles migrated; threat mitigations implemented; service desk guide outline approved.</t>
  </si>
  <si>
    <t>Case history API forecast slipped; analytics contract still open.</t>
  </si>
  <si>
    <t>Start UAT on available journeys and raise dependency escalation.</t>
  </si>
  <si>
    <t>Confirm data owner for legacy mapping.</t>
  </si>
  <si>
    <t>UAT started; authentication flows mostly passed; production alerts configured.</t>
  </si>
  <si>
    <t>One priority 1 authentication defect; five UAT scenarios blocked; dashboard blocked.</t>
  </si>
  <si>
    <t>Fix authentication, unblock mapping, continue UAT, draft launch communications.</t>
  </si>
  <si>
    <t>Decide whether reporting can move to November.</t>
  </si>
  <si>
    <t>41 articles migrated; token refresh fix entered code review; 23 of 42 UAT scenarios passed.</t>
  </si>
  <si>
    <t>Case history API and dashboard remain blocked; security coverage is partial; design approval is late.</t>
  </si>
  <si>
    <t>Recover case API, execute remaining UAT, close P1 defect, finalize pilot materials.</t>
  </si>
  <si>
    <t>Reporting scope; reduced legacy field set; approved defect thresholds.</t>
  </si>
  <si>
    <t>COPILOT PROMPT LAB</t>
  </si>
  <si>
    <t>Level</t>
  </si>
  <si>
    <t>Prompt</t>
  </si>
  <si>
    <t>Foundation</t>
  </si>
  <si>
    <t>Summarize this project for a steering committee. Use only evidence in the workbook. Include overall status, progress, next steps, risks, and decisions needed.</t>
  </si>
  <si>
    <t>Evidence</t>
  </si>
  <si>
    <t>Recommend a RAG status as of 1 October 2026. Cite the specific tasks, milestones, and risks that support the recommendation. Separate facts from judgment.</t>
  </si>
  <si>
    <t>Audience</t>
  </si>
  <si>
    <t>Write two status updates from this tracker: one for executives in 150 words and one for the delivery team with detailed actions.</t>
  </si>
  <si>
    <t>Critical path</t>
  </si>
  <si>
    <t>Identify the tasks most likely to affect the 30 October launch. Explain the dependency chain and name the immediate recovery actions.</t>
  </si>
  <si>
    <t>Data quality</t>
  </si>
  <si>
    <t>Find conflicting, stale, blank, or ambiguous fields that could weaken a status report. Do not invent missing information.</t>
  </si>
  <si>
    <t>Decisions</t>
  </si>
  <si>
    <t>Create a decision brief for the steering committee. For each open decision, include context, options visible in the tracker, impact, owner, and due date.</t>
  </si>
  <si>
    <t>Trends</t>
  </si>
  <si>
    <t>Compare the weekly updates from 10 September through 1 October. Explain what improved, what deteriorated, and what remained unresolved.</t>
  </si>
  <si>
    <t>Actions</t>
  </si>
  <si>
    <t>Create a follow-up list grouped by owner for work due on or before 13 October. Prioritize blocked and critical items.</t>
  </si>
  <si>
    <t>Grounding check</t>
  </si>
  <si>
    <t>Draft a status update, then add an evidence appendix that maps every claim to a task ID, milestone, or risk ID.</t>
  </si>
  <si>
    <t>Refinement</t>
  </si>
  <si>
    <t>Review your first status update as a skeptical sponsor. Identify vague claims, missing evidence, and decisions that need clearer wording, then rewrite it.</t>
  </si>
  <si>
    <t>Facilitator note</t>
  </si>
  <si>
    <t>The workbook is intentionally realistic rather than perfectly clean. The latest weekly update has a blank overall status, one milestone has slipped, several tasks depend on decisions, and some dates are already past. Learners should ask Copilot to stay grounded, distinguish evidence from recommendation, and call out uncertainty.</t>
  </si>
  <si>
    <t>Count</t>
  </si>
  <si>
    <t>Average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</si>
</sst>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numFmts>
  <fonts count="12" x14ac:knownFonts="1">
    <font>
      <sz val="11"/>
      <color theme="1"/>
      <name val="Calibri"/>
      <family val="2"/>
      <scheme val="minor"/>
    </font>
    <font>
      <b/>
      <sz val="18"/>
      <color rgb="FFFFFFFF"/>
      <name val="Calibri"/>
    </font>
    <font>
      <i/>
      <sz val="11"/>
      <color rgb="FF666666"/>
      <name val="Calibri"/>
    </font>
    <font>
      <b/>
      <sz val="11"/>
      <color rgb="FF17365D"/>
      <name val="Calibri"/>
    </font>
    <font>
      <b/>
      <sz val="13"/>
      <color rgb="FFFFFFFF"/>
      <name val="Calibri"/>
    </font>
    <font>
      <b/>
      <sz val="11"/>
      <color rgb="FF666666"/>
      <name val="Calibri"/>
    </font>
    <font>
      <b/>
      <sz val="16"/>
      <color rgb="FF0078D4"/>
      <name val="Calibri"/>
    </font>
    <font>
      <b/>
      <sz val="11"/>
      <name val="Calibri"/>
    </font>
    <font>
      <sz val="12"/>
      <name val="Calibri"/>
    </font>
    <font>
      <b/>
      <sz val="11"/>
      <color rgb="FFFFFFFF"/>
      <name val="Calibri"/>
    </font>
    <font>
      <b/>
      <sz val="16"/>
      <color rgb="FFFFFFFF"/>
      <name val="Calibri"/>
    </font>
    <font>
      <b/>
      <sz val="11"/>
      <color rgb="FF0078D4"/>
      <name val="Calibri"/>
    </font>
  </fonts>
  <fills count="8">
    <fill>
      <patternFill patternType="none"/>
    </fill>
    <fill>
      <patternFill patternType="gray125"/>
    </fill>
    <fill>
      <patternFill patternType="solid">
        <fgColor rgb="FF17365D"/>
      </patternFill>
    </fill>
    <fill>
      <patternFill patternType="solid">
        <fgColor rgb="FFDCE6F1"/>
      </patternFill>
    </fill>
    <fill>
      <patternFill patternType="solid">
        <fgColor rgb="FF0078D4"/>
      </patternFill>
    </fill>
    <fill>
      <patternFill patternType="solid">
        <fgColor rgb="FFF3F8FC"/>
      </patternFill>
    </fill>
    <fill>
      <patternFill patternType="solid">
        <fgColor rgb="FFFFE699"/>
      </patternFill>
    </fill>
    <fill>
      <patternFill patternType="solid">
        <fgColor rgb="FFDDEBF7"/>
      </patternFill>
    </fill>
  </fills>
  <borders count="1">
    <border>
      <left/>
      <right/>
      <top/>
      <bottom/>
      <diagonal/>
    </border>
  </borders>
  <cellStyleXfs count="1">
    <xf numFmtId="0" fontId="0" fillId="0" borderId="0"/>
  </cellStyleXfs>
  <cellXfs count="30">
    <xf numFmtId="0" fontId="0" fillId="0" borderId="0" xfId="0"/>
    <xf numFmtId="0" fontId="3" fillId="3" borderId="0" xfId="0" applyFont="1" applyFill="1"/>
    <xf numFmtId="0" fontId="4" fillId="4" borderId="0" xfId="0" applyFont="1" applyFill="1"/>
    <xf numFmtId="0" fontId="0" fillId="4" borderId="0" xfId="0" applyFill="1"/>
    <xf numFmtId="0" fontId="5" fillId="0" borderId="0" xfId="0" applyFont="1" applyAlignment="1">
      <alignment horizontal="center"/>
    </xf>
    <xf numFmtId="0" fontId="6" fillId="5" borderId="0" xfId="0" applyFont="1" applyFill="1" applyAlignment="1">
      <alignment horizontal="center"/>
    </xf>
    <xf numFmtId="9" fontId="6" fillId="5" borderId="0" xfId="0" applyNumberFormat="1" applyFont="1" applyFill="1" applyAlignment="1">
      <alignment horizontal="center"/>
    </xf>
    <xf numFmtId="0" fontId="4" fillId="2" borderId="0" xfId="0" applyFont="1" applyFill="1"/>
    <xf numFmtId="0" fontId="0" fillId="2" borderId="0" xfId="0" applyFill="1"/>
    <xf numFmtId="0" fontId="3" fillId="0" borderId="0" xfId="0" applyFont="1"/>
    <xf numFmtId="0" fontId="7" fillId="6" borderId="0" xfId="0" applyFont="1" applyFill="1"/>
    <xf numFmtId="0" fontId="7" fillId="7" borderId="0" xfId="0" applyFont="1" applyFill="1"/>
    <xf numFmtId="0" fontId="4" fillId="7" borderId="0" xfId="0" applyFont="1" applyFill="1"/>
    <xf numFmtId="0" fontId="0" fillId="7" borderId="0" xfId="0" applyFill="1"/>
    <xf numFmtId="0" fontId="9" fillId="2" borderId="0" xfId="0" applyFont="1" applyFill="1" applyAlignment="1">
      <alignment vertical="center" wrapText="1"/>
    </xf>
    <xf numFmtId="0" fontId="0" fillId="0" borderId="0" xfId="0" applyAlignment="1">
      <alignment vertical="top" wrapText="1"/>
    </xf>
    <xf numFmtId="9" fontId="0" fillId="0" borderId="0" xfId="0" applyNumberFormat="1" applyAlignment="1">
      <alignment vertical="top" wrapText="1"/>
    </xf>
    <xf numFmtId="164" fontId="0" fillId="0" borderId="0" xfId="0" applyNumberFormat="1" applyAlignment="1">
      <alignment vertical="top" wrapText="1"/>
    </xf>
    <xf numFmtId="0" fontId="9" fillId="2" borderId="0" xfId="0" applyFont="1" applyFill="1" applyAlignment="1">
      <alignment wrapText="1"/>
    </xf>
    <xf numFmtId="0" fontId="0" fillId="6" borderId="0" xfId="0" applyFill="1" applyAlignment="1">
      <alignment vertical="top" wrapText="1"/>
    </xf>
    <xf numFmtId="0" fontId="3" fillId="7" borderId="0" xfId="0" applyFont="1" applyFill="1"/>
    <xf numFmtId="0" fontId="11" fillId="0" borderId="0" xfId="0" applyFont="1"/>
    <xf numFmtId="0" fontId="9" fillId="4" borderId="0" xfId="0" applyFont="1" applyFill="1"/>
    <xf numFmtId="0" fontId="8" fillId="0" borderId="0" xfId="0" applyFont="1" applyAlignment="1">
      <alignment vertical="top" wrapText="1"/>
    </xf>
    <xf numFmtId="0" fontId="0" fillId="0" borderId="0" xfId="0"/>
    <xf numFmtId="0" fontId="0" fillId="0" borderId="0" xfId="0" applyAlignment="1">
      <alignment wrapText="1"/>
    </xf>
    <xf numFmtId="0" fontId="1" fillId="2" borderId="0" xfId="0" applyFont="1" applyFill="1" applyAlignment="1">
      <alignment horizontal="left" vertical="center"/>
    </xf>
    <xf numFmtId="0" fontId="2" fillId="0" borderId="0" xfId="0" applyFont="1"/>
    <xf numFmtId="0" fontId="10" fillId="2" borderId="0" xfId="0" applyFont="1" applyFill="1"/>
    <xf numFmtId="0" fontId="0" fillId="0" borderId="0" xfId="0" applyAlignment="1">
      <alignment vertical="top" wrapText="1"/>
    </xf>
  </cellXfs>
  <cellStyles count="1">
    <cellStyle name="Normal" xfId="0" builtinId="0"/>
  </cellStyles>
  <dxfs count="4">
    <dxf>
      <fill>
        <patternFill patternType="solid">
          <fgColor rgb="FFFCE4D6"/>
        </patternFill>
      </fill>
    </dxf>
    <dxf>
      <fill>
        <patternFill patternType="solid">
          <fgColor rgb="FFF4CCCC"/>
        </patternFill>
      </fill>
    </dxf>
    <dxf>
      <fill>
        <patternFill patternType="solid">
          <fgColor rgb="FFFFE699"/>
        </patternFill>
      </fill>
    </dxf>
    <dxf>
      <fill>
        <patternFill patternType="solid">
          <fgColor rgb="FFC6E0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Tasks by status</a:t>
            </a:r>
          </a:p>
        </c:rich>
      </c:tx>
      <c:overlay val="1"/>
    </c:title>
    <c:autoTitleDeleted val="0"/>
    <c:plotArea>
      <c:layout/>
      <c:pieChart>
        <c:varyColors val="1"/>
        <c:ser>
          <c:idx val="0"/>
          <c:order val="0"/>
          <c:tx>
            <c:strRef>
              <c:f>'_Chart Data'!$B$1</c:f>
              <c:strCache>
                <c:ptCount val="1"/>
                <c:pt idx="0">
                  <c:v>Count</c:v>
                </c:pt>
              </c:strCache>
            </c:strRef>
          </c:tx>
          <c:spPr>
            <a:ln>
              <a:prstDash val="solid"/>
            </a:ln>
          </c:spPr>
          <c:cat>
            <c:strRef>
              <c:f>'_Chart Data'!$A$2:$A$5</c:f>
              <c:strCache>
                <c:ptCount val="4"/>
                <c:pt idx="0">
                  <c:v>Complete</c:v>
                </c:pt>
                <c:pt idx="1">
                  <c:v>In Progress</c:v>
                </c:pt>
                <c:pt idx="2">
                  <c:v>Blocked</c:v>
                </c:pt>
                <c:pt idx="3">
                  <c:v>Not Started</c:v>
                </c:pt>
              </c:strCache>
            </c:strRef>
          </c:cat>
          <c:val>
            <c:numRef>
              <c:f>'_Chart Data'!$B$2:$B$5</c:f>
              <c:numCache>
                <c:formatCode>General</c:formatCode>
                <c:ptCount val="4"/>
                <c:pt idx="0">
                  <c:v>7</c:v>
                </c:pt>
                <c:pt idx="1">
                  <c:v>13</c:v>
                </c:pt>
                <c:pt idx="2">
                  <c:v>2</c:v>
                </c:pt>
                <c:pt idx="3">
                  <c:v>6</c:v>
                </c:pt>
              </c:numCache>
            </c:numRef>
          </c:val>
          <c:extLst>
            <c:ext xmlns:c16="http://schemas.microsoft.com/office/drawing/2014/chart" uri="{C3380CC4-5D6E-409C-BE32-E72D297353CC}">
              <c16:uniqueId val="{00000000-DCB1-40A7-93E9-5B5781C60488}"/>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Average completion by workstream</a:t>
            </a:r>
          </a:p>
        </c:rich>
      </c:tx>
      <c:overlay val="1"/>
    </c:title>
    <c:autoTitleDeleted val="0"/>
    <c:plotArea>
      <c:layout/>
      <c:barChart>
        <c:barDir val="bar"/>
        <c:grouping val="clustered"/>
        <c:varyColors val="1"/>
        <c:ser>
          <c:idx val="0"/>
          <c:order val="0"/>
          <c:tx>
            <c:strRef>
              <c:f>'_Chart Data'!$E$1</c:f>
              <c:strCache>
                <c:ptCount val="1"/>
                <c:pt idx="0">
                  <c:v>Average Completion</c:v>
                </c:pt>
              </c:strCache>
            </c:strRef>
          </c:tx>
          <c:spPr>
            <a:ln>
              <a:prstDash val="solid"/>
            </a:ln>
          </c:spPr>
          <c:invertIfNegative val="1"/>
          <c:cat>
            <c:strRef>
              <c:f>'_Chart Data'!$D$2:$D$12</c:f>
              <c:strCache>
                <c:ptCount val="11"/>
                <c:pt idx="0">
                  <c:v>Change</c:v>
                </c:pt>
                <c:pt idx="1">
                  <c:v>Content</c:v>
                </c:pt>
                <c:pt idx="2">
                  <c:v>Data</c:v>
                </c:pt>
                <c:pt idx="3">
                  <c:v>Experience</c:v>
                </c:pt>
                <c:pt idx="4">
                  <c:v>Operations</c:v>
                </c:pt>
                <c:pt idx="5">
                  <c:v>Platform</c:v>
                </c:pt>
                <c:pt idx="6">
                  <c:v>Program Management</c:v>
                </c:pt>
                <c:pt idx="7">
                  <c:v>Quality</c:v>
                </c:pt>
                <c:pt idx="8">
                  <c:v>Release</c:v>
                </c:pt>
                <c:pt idx="9">
                  <c:v>Reporting</c:v>
                </c:pt>
                <c:pt idx="10">
                  <c:v>Security</c:v>
                </c:pt>
              </c:strCache>
            </c:strRef>
          </c:cat>
          <c:val>
            <c:numRef>
              <c:f>'_Chart Data'!$E$2:$E$12</c:f>
              <c:numCache>
                <c:formatCode>General</c:formatCode>
                <c:ptCount val="11"/>
                <c:pt idx="0">
                  <c:v>0.3833333333333333</c:v>
                </c:pt>
                <c:pt idx="1">
                  <c:v>0.41</c:v>
                </c:pt>
                <c:pt idx="2">
                  <c:v>0.82499999999999996</c:v>
                </c:pt>
                <c:pt idx="3">
                  <c:v>0.89250000000000007</c:v>
                </c:pt>
                <c:pt idx="4">
                  <c:v>0.45</c:v>
                </c:pt>
                <c:pt idx="5">
                  <c:v>0.89</c:v>
                </c:pt>
                <c:pt idx="6">
                  <c:v>0.60000000000000009</c:v>
                </c:pt>
                <c:pt idx="7">
                  <c:v>0.68333333333333324</c:v>
                </c:pt>
                <c:pt idx="8">
                  <c:v>0</c:v>
                </c:pt>
                <c:pt idx="9">
                  <c:v>0.35</c:v>
                </c:pt>
                <c:pt idx="10">
                  <c:v>0.7</c:v>
                </c:pt>
              </c:numCache>
            </c:numRef>
          </c:val>
          <c:extLst>
            <c:ext xmlns:c16="http://schemas.microsoft.com/office/drawing/2014/chart" uri="{C3380CC4-5D6E-409C-BE32-E72D297353CC}">
              <c16:uniqueId val="{00000000-5A10-44E5-BFE0-047B8D40614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 Complete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Workstream</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29</xdr:row>
      <xdr:rowOff>0</xdr:rowOff>
    </xdr:from>
    <xdr:ext cx="324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29</xdr:row>
      <xdr:rowOff>0</xdr:rowOff>
    </xdr:from>
    <xdr:ext cx="5040000" cy="324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Tracker" displayName="TaskTracker" ref="A1:P29">
  <autoFilter ref="A1:P29" xr:uid="{00000000-0009-0000-0100-000001000000}"/>
  <tableColumns count="16">
    <tableColumn id="1" xr3:uid="{00000000-0010-0000-0000-000001000000}" name="Task ID"/>
    <tableColumn id="2" xr3:uid="{00000000-0010-0000-0000-000002000000}" name="Workstream"/>
    <tableColumn id="3" xr3:uid="{00000000-0010-0000-0000-000003000000}" name="Task"/>
    <tableColumn id="4" xr3:uid="{00000000-0010-0000-0000-000004000000}" name="Owner"/>
    <tableColumn id="5" xr3:uid="{00000000-0010-0000-0000-000005000000}" name="Priority"/>
    <tableColumn id="6" xr3:uid="{00000000-0010-0000-0000-000006000000}" name="Health"/>
    <tableColumn id="7" xr3:uid="{00000000-0010-0000-0000-000007000000}" name="Type"/>
    <tableColumn id="8" xr3:uid="{00000000-0010-0000-0000-000008000000}" name="Status"/>
    <tableColumn id="9" xr3:uid="{00000000-0010-0000-0000-000009000000}" name="% Complete"/>
    <tableColumn id="10" xr3:uid="{00000000-0010-0000-0000-00000A000000}" name="Start Date"/>
    <tableColumn id="11" xr3:uid="{00000000-0010-0000-0000-00000B000000}" name="Due Date"/>
    <tableColumn id="12" xr3:uid="{00000000-0010-0000-0000-00000C000000}" name="Dependency"/>
    <tableColumn id="13" xr3:uid="{00000000-0010-0000-0000-00000D000000}" name="Last Update"/>
    <tableColumn id="14" xr3:uid="{00000000-0010-0000-0000-00000E000000}" name="Update / Evidence"/>
    <tableColumn id="15" xr3:uid="{00000000-0010-0000-0000-00000F000000}" name="Next Step"/>
    <tableColumn id="16" xr3:uid="{00000000-0010-0000-0000-000010000000}" name="Decision Need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ilestoneTable" displayName="MilestoneTable" ref="A1:H8">
  <autoFilter ref="A1:H8" xr:uid="{00000000-0009-0000-0100-000002000000}"/>
  <tableColumns count="8">
    <tableColumn id="1" xr3:uid="{00000000-0010-0000-0100-000001000000}" name="Milestone"/>
    <tableColumn id="2" xr3:uid="{00000000-0010-0000-0100-000002000000}" name="Owner"/>
    <tableColumn id="3" xr3:uid="{00000000-0010-0000-0100-000003000000}" name="Baseline Date"/>
    <tableColumn id="4" xr3:uid="{00000000-0010-0000-0100-000004000000}" name="Forecast Date"/>
    <tableColumn id="5" xr3:uid="{00000000-0010-0000-0100-000005000000}" name="Status"/>
    <tableColumn id="6" xr3:uid="{00000000-0010-0000-0100-000006000000}" name="Confidence"/>
    <tableColumn id="7" xr3:uid="{00000000-0010-0000-0100-000007000000}" name="Exit Criteria"/>
    <tableColumn id="8" xr3:uid="{00000000-0010-0000-0100-000008000000}" name="Com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iskTable" displayName="RiskTable" ref="A1:L11">
  <autoFilter ref="A1:L11" xr:uid="{00000000-0009-0000-0100-000003000000}"/>
  <tableColumns count="12">
    <tableColumn id="1" xr3:uid="{00000000-0010-0000-0200-000001000000}" name="ID"/>
    <tableColumn id="2" xr3:uid="{00000000-0010-0000-0200-000002000000}" name="Category"/>
    <tableColumn id="3" xr3:uid="{00000000-0010-0000-0200-000003000000}" name="Type"/>
    <tableColumn id="4" xr3:uid="{00000000-0010-0000-0200-000004000000}" name="Description"/>
    <tableColumn id="5" xr3:uid="{00000000-0010-0000-0200-000005000000}" name="Impact"/>
    <tableColumn id="6" xr3:uid="{00000000-0010-0000-0200-000006000000}" name="Probability"/>
    <tableColumn id="7" xr3:uid="{00000000-0010-0000-0200-000007000000}" name="Rating"/>
    <tableColumn id="8" xr3:uid="{00000000-0010-0000-0200-000008000000}" name="Owner"/>
    <tableColumn id="9" xr3:uid="{00000000-0010-0000-0200-000009000000}" name="Mitigation / Recovery"/>
    <tableColumn id="10" xr3:uid="{00000000-0010-0000-0200-00000A000000}" name="Due Date"/>
    <tableColumn id="11" xr3:uid="{00000000-0010-0000-0200-00000B000000}" name="State"/>
    <tableColumn id="12" xr3:uid="{00000000-0010-0000-0200-00000C000000}" name="Escalation / Deci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lyUpdateTable" displayName="WeeklyUpdateTable" ref="A1:F5">
  <autoFilter ref="A1:F5" xr:uid="{00000000-0009-0000-0100-000004000000}"/>
  <tableColumns count="6">
    <tableColumn id="1" xr3:uid="{00000000-0010-0000-0300-000001000000}" name="Update Date"/>
    <tableColumn id="2" xr3:uid="{00000000-0010-0000-0300-000002000000}" name="Overall Status"/>
    <tableColumn id="3" xr3:uid="{00000000-0010-0000-0300-000003000000}" name="Accomplishments"/>
    <tableColumn id="4" xr3:uid="{00000000-0010-0000-0300-000004000000}" name="Challenges / Changes"/>
    <tableColumn id="5" xr3:uid="{00000000-0010-0000-0300-000005000000}" name="Next Week"/>
    <tableColumn id="6" xr3:uid="{00000000-0010-0000-0300-000006000000}" name="Decisions / As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tabSelected="1" workbookViewId="0">
      <selection sqref="A1:H1"/>
    </sheetView>
  </sheetViews>
  <sheetFormatPr defaultRowHeight="15" x14ac:dyDescent="0.25"/>
  <cols>
    <col min="1" max="1" width="22" customWidth="1"/>
    <col min="2" max="2" width="20" customWidth="1"/>
    <col min="3" max="8" width="18" customWidth="1"/>
  </cols>
  <sheetData>
    <row r="1" spans="1:8" ht="33.950000000000003" customHeight="1" x14ac:dyDescent="0.25">
      <c r="A1" s="26" t="s">
        <v>0</v>
      </c>
      <c r="B1" s="24"/>
      <c r="C1" s="24"/>
      <c r="D1" s="24"/>
      <c r="E1" s="24"/>
      <c r="F1" s="24"/>
      <c r="G1" s="24"/>
      <c r="H1" s="24"/>
    </row>
    <row r="2" spans="1:8" x14ac:dyDescent="0.25">
      <c r="A2" s="27" t="s">
        <v>1</v>
      </c>
      <c r="B2" s="24"/>
      <c r="C2" s="24"/>
      <c r="D2" s="24"/>
      <c r="E2" s="24"/>
      <c r="F2" s="24"/>
      <c r="G2" s="24"/>
      <c r="H2" s="24"/>
    </row>
    <row r="4" spans="1:8" x14ac:dyDescent="0.25">
      <c r="A4" s="1" t="s">
        <v>2</v>
      </c>
      <c r="B4" s="24" t="s">
        <v>3</v>
      </c>
      <c r="C4" s="24"/>
      <c r="D4" s="24"/>
      <c r="E4" s="24"/>
      <c r="F4" s="24"/>
      <c r="G4" s="24"/>
      <c r="H4" s="24"/>
    </row>
    <row r="5" spans="1:8" x14ac:dyDescent="0.25">
      <c r="A5" s="1" t="s">
        <v>4</v>
      </c>
      <c r="B5" s="24" t="s">
        <v>5</v>
      </c>
      <c r="C5" s="24"/>
      <c r="D5" s="24"/>
      <c r="E5" s="24"/>
      <c r="F5" s="24"/>
      <c r="G5" s="24"/>
      <c r="H5" s="24"/>
    </row>
    <row r="6" spans="1:8" x14ac:dyDescent="0.25">
      <c r="A6" s="1" t="s">
        <v>6</v>
      </c>
      <c r="B6" s="24" t="s">
        <v>7</v>
      </c>
      <c r="C6" s="24"/>
      <c r="D6" s="24"/>
      <c r="E6" s="24"/>
      <c r="F6" s="24"/>
      <c r="G6" s="24"/>
      <c r="H6" s="24"/>
    </row>
    <row r="7" spans="1:8" x14ac:dyDescent="0.25">
      <c r="A7" s="1" t="s">
        <v>8</v>
      </c>
      <c r="B7" s="24" t="s">
        <v>9</v>
      </c>
      <c r="C7" s="24"/>
      <c r="D7" s="24"/>
      <c r="E7" s="24"/>
      <c r="F7" s="24"/>
      <c r="G7" s="24"/>
      <c r="H7" s="24"/>
    </row>
    <row r="8" spans="1:8" x14ac:dyDescent="0.25">
      <c r="A8" s="1" t="s">
        <v>10</v>
      </c>
      <c r="B8" s="24" t="s">
        <v>11</v>
      </c>
      <c r="C8" s="24"/>
      <c r="D8" s="24"/>
      <c r="E8" s="24"/>
      <c r="F8" s="24"/>
      <c r="G8" s="24"/>
      <c r="H8" s="24"/>
    </row>
    <row r="9" spans="1:8" x14ac:dyDescent="0.25">
      <c r="A9" s="1" t="s">
        <v>12</v>
      </c>
      <c r="B9" s="24" t="s">
        <v>13</v>
      </c>
      <c r="C9" s="24"/>
      <c r="D9" s="24"/>
      <c r="E9" s="24"/>
      <c r="F9" s="24"/>
      <c r="G9" s="24"/>
      <c r="H9" s="24"/>
    </row>
    <row r="11" spans="1:8" ht="17.25" x14ac:dyDescent="0.3">
      <c r="A11" s="2" t="s">
        <v>14</v>
      </c>
      <c r="B11" s="3"/>
      <c r="C11" s="3"/>
      <c r="D11" s="3"/>
      <c r="E11" s="3"/>
      <c r="F11" s="3"/>
      <c r="G11" s="3"/>
      <c r="H11" s="3"/>
    </row>
    <row r="12" spans="1:8" x14ac:dyDescent="0.25">
      <c r="A12" s="4" t="s">
        <v>15</v>
      </c>
      <c r="B12" s="4" t="s">
        <v>16</v>
      </c>
      <c r="C12" s="4" t="s">
        <v>17</v>
      </c>
      <c r="D12" s="4" t="s">
        <v>18</v>
      </c>
      <c r="E12" s="4" t="s">
        <v>19</v>
      </c>
      <c r="F12" s="4" t="s">
        <v>20</v>
      </c>
      <c r="G12" s="4" t="s">
        <v>21</v>
      </c>
    </row>
    <row r="13" spans="1:8" ht="21" x14ac:dyDescent="0.35">
      <c r="A13" s="5">
        <f>COUNTA('Task Tracker'!A2:A200)</f>
        <v>28</v>
      </c>
      <c r="B13" s="5">
        <f>COUNTIF('Task Tracker'!H:H,"Complete")</f>
        <v>7</v>
      </c>
      <c r="C13" s="5">
        <f>COUNTIF('Task Tracker'!H:H,"In Progress")</f>
        <v>13</v>
      </c>
      <c r="D13" s="5">
        <f>COUNTIF('Task Tracker'!H:H,"Blocked")</f>
        <v>2</v>
      </c>
      <c r="E13" s="5">
        <f>COUNTIF('Task Tracker'!H:H,"Not Started")</f>
        <v>6</v>
      </c>
      <c r="F13" s="5">
        <f ca="1">COUNTIFS('Task Tracker'!K:K,"&lt;"&amp;TODAY(),'Task Tracker'!H:H,"&lt;&gt;Complete")</f>
        <v>5</v>
      </c>
      <c r="G13" s="6">
        <f>AVERAGE('Task Tracker'!I2:I200)</f>
        <v>0.59</v>
      </c>
    </row>
    <row r="16" spans="1:8" ht="17.25" x14ac:dyDescent="0.3">
      <c r="A16" s="7" t="s">
        <v>22</v>
      </c>
      <c r="B16" s="8"/>
      <c r="C16" s="8"/>
      <c r="D16" s="8"/>
      <c r="E16" s="8"/>
      <c r="F16" s="8"/>
      <c r="G16" s="8"/>
      <c r="H16" s="8"/>
    </row>
    <row r="17" spans="1:8" x14ac:dyDescent="0.25">
      <c r="A17" s="9" t="s">
        <v>23</v>
      </c>
      <c r="B17" s="10" t="s">
        <v>24</v>
      </c>
      <c r="C17" s="25" t="s">
        <v>25</v>
      </c>
      <c r="D17" s="24"/>
      <c r="E17" s="24"/>
      <c r="F17" s="24"/>
      <c r="G17" s="24"/>
      <c r="H17" s="24"/>
    </row>
    <row r="18" spans="1:8" x14ac:dyDescent="0.25">
      <c r="A18" s="9" t="s">
        <v>26</v>
      </c>
      <c r="B18" s="11" t="s">
        <v>27</v>
      </c>
      <c r="C18" s="25" t="s">
        <v>28</v>
      </c>
      <c r="D18" s="24"/>
      <c r="E18" s="24"/>
      <c r="F18" s="24"/>
      <c r="G18" s="24"/>
      <c r="H18" s="24"/>
    </row>
    <row r="19" spans="1:8" x14ac:dyDescent="0.25">
      <c r="A19" s="9" t="s">
        <v>29</v>
      </c>
      <c r="B19" s="10" t="s">
        <v>30</v>
      </c>
      <c r="C19" s="25" t="s">
        <v>31</v>
      </c>
      <c r="D19" s="24"/>
      <c r="E19" s="24"/>
      <c r="F19" s="24"/>
      <c r="G19" s="24"/>
      <c r="H19" s="24"/>
    </row>
    <row r="20" spans="1:8" x14ac:dyDescent="0.25">
      <c r="A20" s="9" t="s">
        <v>32</v>
      </c>
      <c r="B20" s="11" t="s">
        <v>33</v>
      </c>
      <c r="C20" s="25" t="s">
        <v>34</v>
      </c>
      <c r="D20" s="24"/>
      <c r="E20" s="24"/>
      <c r="F20" s="24"/>
      <c r="G20" s="24"/>
      <c r="H20" s="24"/>
    </row>
    <row r="23" spans="1:8" ht="17.25" x14ac:dyDescent="0.3">
      <c r="A23" s="12" t="s">
        <v>35</v>
      </c>
      <c r="B23" s="13"/>
      <c r="C23" s="13"/>
      <c r="D23" s="13"/>
      <c r="E23" s="13"/>
      <c r="F23" s="13"/>
      <c r="G23" s="13"/>
      <c r="H23" s="13"/>
    </row>
    <row r="24" spans="1:8" x14ac:dyDescent="0.25">
      <c r="A24" s="23" t="s">
        <v>36</v>
      </c>
      <c r="B24" s="24"/>
      <c r="C24" s="24"/>
      <c r="D24" s="24"/>
      <c r="E24" s="24"/>
      <c r="F24" s="24"/>
      <c r="G24" s="24"/>
      <c r="H24" s="24"/>
    </row>
    <row r="25" spans="1:8" x14ac:dyDescent="0.25">
      <c r="A25" s="24"/>
      <c r="B25" s="24"/>
      <c r="C25" s="24"/>
      <c r="D25" s="24"/>
      <c r="E25" s="24"/>
      <c r="F25" s="24"/>
      <c r="G25" s="24"/>
      <c r="H25" s="24"/>
    </row>
    <row r="26" spans="1:8" x14ac:dyDescent="0.25">
      <c r="A26" s="24"/>
      <c r="B26" s="24"/>
      <c r="C26" s="24"/>
      <c r="D26" s="24"/>
      <c r="E26" s="24"/>
      <c r="F26" s="24"/>
      <c r="G26" s="24"/>
      <c r="H26" s="24"/>
    </row>
    <row r="27" spans="1:8" x14ac:dyDescent="0.25">
      <c r="A27" s="24"/>
      <c r="B27" s="24"/>
      <c r="C27" s="24"/>
      <c r="D27" s="24"/>
      <c r="E27" s="24"/>
      <c r="F27" s="24"/>
      <c r="G27" s="24"/>
      <c r="H27" s="24"/>
    </row>
  </sheetData>
  <mergeCells count="13">
    <mergeCell ref="A24:H27"/>
    <mergeCell ref="C18:H18"/>
    <mergeCell ref="B7:H7"/>
    <mergeCell ref="A1:H1"/>
    <mergeCell ref="B5:H5"/>
    <mergeCell ref="C20:H20"/>
    <mergeCell ref="B8:H8"/>
    <mergeCell ref="C19:H19"/>
    <mergeCell ref="B9:H9"/>
    <mergeCell ref="B4:H4"/>
    <mergeCell ref="A2:H2"/>
    <mergeCell ref="C17:H17"/>
    <mergeCell ref="B6:H6"/>
  </mergeCells>
  <pageMargins left="0.75" right="0.75" top="1" bottom="1" header="0.5" footer="0.5"/>
  <pageSetup fitToHeight="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9"/>
  <sheetViews>
    <sheetView showGridLines="0" workbookViewId="0">
      <pane ySplit="1" topLeftCell="A2" activePane="bottomLeft" state="frozen"/>
      <selection pane="bottomLeft"/>
    </sheetView>
  </sheetViews>
  <sheetFormatPr defaultRowHeight="15" x14ac:dyDescent="0.25"/>
  <cols>
    <col min="1" max="1" width="11" customWidth="1"/>
    <col min="2" max="2" width="19" customWidth="1"/>
    <col min="3" max="3" width="34" customWidth="1"/>
    <col min="4" max="4" width="18" customWidth="1"/>
    <col min="5" max="5" width="12" customWidth="1"/>
    <col min="6" max="6" width="11" customWidth="1"/>
    <col min="7" max="7" width="14" customWidth="1"/>
    <col min="8" max="8" width="15" customWidth="1"/>
    <col min="9" max="9" width="12" customWidth="1"/>
    <col min="10" max="11" width="13" customWidth="1"/>
    <col min="12" max="12" width="24" customWidth="1"/>
    <col min="13" max="13" width="13" customWidth="1"/>
    <col min="14" max="14" width="50" customWidth="1"/>
    <col min="15" max="15" width="34" customWidth="1"/>
    <col min="16" max="16" width="38" customWidth="1"/>
  </cols>
  <sheetData>
    <row r="1" spans="1:16" ht="32.1" customHeight="1" x14ac:dyDescent="0.25">
      <c r="A1" s="14" t="s">
        <v>37</v>
      </c>
      <c r="B1" s="14" t="s">
        <v>38</v>
      </c>
      <c r="C1" s="14" t="s">
        <v>39</v>
      </c>
      <c r="D1" s="14" t="s">
        <v>40</v>
      </c>
      <c r="E1" s="14" t="s">
        <v>41</v>
      </c>
      <c r="F1" s="14" t="s">
        <v>42</v>
      </c>
      <c r="G1" s="14" t="s">
        <v>43</v>
      </c>
      <c r="H1" s="14" t="s">
        <v>44</v>
      </c>
      <c r="I1" s="14" t="s">
        <v>45</v>
      </c>
      <c r="J1" s="14" t="s">
        <v>46</v>
      </c>
      <c r="K1" s="14" t="s">
        <v>47</v>
      </c>
      <c r="L1" s="14" t="s">
        <v>48</v>
      </c>
      <c r="M1" s="14" t="s">
        <v>49</v>
      </c>
      <c r="N1" s="14" t="s">
        <v>50</v>
      </c>
      <c r="O1" s="14" t="s">
        <v>51</v>
      </c>
      <c r="P1" s="14" t="s">
        <v>52</v>
      </c>
    </row>
    <row r="2" spans="1:16" ht="30" x14ac:dyDescent="0.25">
      <c r="A2" s="15" t="s">
        <v>53</v>
      </c>
      <c r="B2" s="15" t="s">
        <v>54</v>
      </c>
      <c r="C2" s="15" t="s">
        <v>55</v>
      </c>
      <c r="D2" s="15" t="s">
        <v>56</v>
      </c>
      <c r="E2" s="15" t="s">
        <v>57</v>
      </c>
      <c r="F2" s="15" t="s">
        <v>58</v>
      </c>
      <c r="G2" s="15" t="s">
        <v>59</v>
      </c>
      <c r="H2" s="15" t="s">
        <v>16</v>
      </c>
      <c r="I2" s="16">
        <v>1</v>
      </c>
      <c r="J2" s="17">
        <v>46209</v>
      </c>
      <c r="K2" s="17">
        <v>46213</v>
      </c>
      <c r="L2" s="15"/>
      <c r="M2" s="17">
        <v>46213</v>
      </c>
      <c r="N2" s="15" t="s">
        <v>60</v>
      </c>
      <c r="O2" s="15" t="s">
        <v>61</v>
      </c>
      <c r="P2" s="15"/>
    </row>
    <row r="3" spans="1:16" ht="30" x14ac:dyDescent="0.25">
      <c r="A3" s="15" t="s">
        <v>62</v>
      </c>
      <c r="B3" s="15" t="s">
        <v>63</v>
      </c>
      <c r="C3" s="15" t="s">
        <v>64</v>
      </c>
      <c r="D3" s="15" t="s">
        <v>65</v>
      </c>
      <c r="E3" s="15" t="s">
        <v>57</v>
      </c>
      <c r="F3" s="15" t="s">
        <v>58</v>
      </c>
      <c r="G3" s="15" t="s">
        <v>66</v>
      </c>
      <c r="H3" s="15" t="s">
        <v>16</v>
      </c>
      <c r="I3" s="16">
        <v>1</v>
      </c>
      <c r="J3" s="17">
        <v>46216</v>
      </c>
      <c r="K3" s="17">
        <v>46234</v>
      </c>
      <c r="L3" s="15" t="s">
        <v>53</v>
      </c>
      <c r="M3" s="17">
        <v>46233</v>
      </c>
      <c r="N3" s="15" t="s">
        <v>67</v>
      </c>
      <c r="O3" s="15" t="s">
        <v>68</v>
      </c>
      <c r="P3" s="15"/>
    </row>
    <row r="4" spans="1:16" x14ac:dyDescent="0.25">
      <c r="A4" s="15" t="s">
        <v>69</v>
      </c>
      <c r="B4" s="15" t="s">
        <v>63</v>
      </c>
      <c r="C4" s="15" t="s">
        <v>70</v>
      </c>
      <c r="D4" s="15" t="s">
        <v>71</v>
      </c>
      <c r="E4" s="15" t="s">
        <v>57</v>
      </c>
      <c r="F4" s="15" t="s">
        <v>72</v>
      </c>
      <c r="G4" s="15" t="s">
        <v>66</v>
      </c>
      <c r="H4" s="15" t="s">
        <v>73</v>
      </c>
      <c r="I4" s="16">
        <v>0.85</v>
      </c>
      <c r="J4" s="17">
        <v>46237</v>
      </c>
      <c r="K4" s="17">
        <v>46283</v>
      </c>
      <c r="L4" s="15" t="s">
        <v>62</v>
      </c>
      <c r="M4" s="17">
        <v>46294</v>
      </c>
      <c r="N4" s="15" t="s">
        <v>74</v>
      </c>
      <c r="O4" s="15" t="s">
        <v>75</v>
      </c>
      <c r="P4" s="15" t="s">
        <v>76</v>
      </c>
    </row>
    <row r="5" spans="1:16" ht="30" x14ac:dyDescent="0.25">
      <c r="A5" s="15" t="s">
        <v>77</v>
      </c>
      <c r="B5" s="15" t="s">
        <v>78</v>
      </c>
      <c r="C5" s="15" t="s">
        <v>79</v>
      </c>
      <c r="D5" s="15" t="s">
        <v>80</v>
      </c>
      <c r="E5" s="15" t="s">
        <v>57</v>
      </c>
      <c r="F5" s="15" t="s">
        <v>58</v>
      </c>
      <c r="G5" s="15" t="s">
        <v>39</v>
      </c>
      <c r="H5" s="15" t="s">
        <v>16</v>
      </c>
      <c r="I5" s="16">
        <v>1</v>
      </c>
      <c r="J5" s="17">
        <v>46223</v>
      </c>
      <c r="K5" s="17">
        <v>46248</v>
      </c>
      <c r="L5" s="15" t="s">
        <v>53</v>
      </c>
      <c r="M5" s="17">
        <v>46247</v>
      </c>
      <c r="N5" s="15" t="s">
        <v>81</v>
      </c>
      <c r="O5" s="15" t="s">
        <v>68</v>
      </c>
      <c r="P5" s="15"/>
    </row>
    <row r="6" spans="1:16" ht="30" x14ac:dyDescent="0.25">
      <c r="A6" s="15" t="s">
        <v>82</v>
      </c>
      <c r="B6" s="15" t="s">
        <v>78</v>
      </c>
      <c r="C6" s="15" t="s">
        <v>83</v>
      </c>
      <c r="D6" s="15" t="s">
        <v>84</v>
      </c>
      <c r="E6" s="15" t="s">
        <v>85</v>
      </c>
      <c r="F6" s="15" t="s">
        <v>72</v>
      </c>
      <c r="G6" s="15" t="s">
        <v>66</v>
      </c>
      <c r="H6" s="15" t="s">
        <v>73</v>
      </c>
      <c r="I6" s="16">
        <v>0.78</v>
      </c>
      <c r="J6" s="17">
        <v>46237</v>
      </c>
      <c r="K6" s="17">
        <v>46290</v>
      </c>
      <c r="L6" s="15" t="s">
        <v>77</v>
      </c>
      <c r="M6" s="17">
        <v>46295</v>
      </c>
      <c r="N6" s="15" t="s">
        <v>86</v>
      </c>
      <c r="O6" s="15" t="s">
        <v>87</v>
      </c>
      <c r="P6" s="15"/>
    </row>
    <row r="7" spans="1:16" x14ac:dyDescent="0.25">
      <c r="A7" s="15" t="s">
        <v>88</v>
      </c>
      <c r="B7" s="15" t="s">
        <v>89</v>
      </c>
      <c r="C7" s="15" t="s">
        <v>90</v>
      </c>
      <c r="D7" s="15" t="s">
        <v>91</v>
      </c>
      <c r="E7" s="15" t="s">
        <v>57</v>
      </c>
      <c r="F7" s="15" t="s">
        <v>58</v>
      </c>
      <c r="G7" s="15" t="s">
        <v>66</v>
      </c>
      <c r="H7" s="15" t="s">
        <v>16</v>
      </c>
      <c r="I7" s="16">
        <v>1</v>
      </c>
      <c r="J7" s="17">
        <v>46237</v>
      </c>
      <c r="K7" s="17">
        <v>46269</v>
      </c>
      <c r="L7" s="15" t="s">
        <v>77</v>
      </c>
      <c r="M7" s="17">
        <v>46268</v>
      </c>
      <c r="N7" s="15" t="s">
        <v>92</v>
      </c>
      <c r="O7" s="15" t="s">
        <v>93</v>
      </c>
      <c r="P7" s="15"/>
    </row>
    <row r="8" spans="1:16" ht="30" x14ac:dyDescent="0.25">
      <c r="A8" s="15" t="s">
        <v>94</v>
      </c>
      <c r="B8" s="15" t="s">
        <v>89</v>
      </c>
      <c r="C8" s="15" t="s">
        <v>95</v>
      </c>
      <c r="D8" s="15" t="s">
        <v>91</v>
      </c>
      <c r="E8" s="15" t="s">
        <v>85</v>
      </c>
      <c r="F8" s="15" t="s">
        <v>96</v>
      </c>
      <c r="G8" s="15" t="s">
        <v>66</v>
      </c>
      <c r="H8" s="15" t="s">
        <v>18</v>
      </c>
      <c r="I8" s="16">
        <v>0.65</v>
      </c>
      <c r="J8" s="17">
        <v>46244</v>
      </c>
      <c r="K8" s="17">
        <v>46286</v>
      </c>
      <c r="L8" s="15" t="s">
        <v>77</v>
      </c>
      <c r="M8" s="17">
        <v>46293</v>
      </c>
      <c r="N8" s="15" t="s">
        <v>97</v>
      </c>
      <c r="O8" s="15" t="s">
        <v>98</v>
      </c>
      <c r="P8" s="15" t="s">
        <v>99</v>
      </c>
    </row>
    <row r="9" spans="1:16" x14ac:dyDescent="0.25">
      <c r="A9" s="15" t="s">
        <v>100</v>
      </c>
      <c r="B9" s="15" t="s">
        <v>63</v>
      </c>
      <c r="C9" s="15" t="s">
        <v>101</v>
      </c>
      <c r="D9" s="15" t="s">
        <v>102</v>
      </c>
      <c r="E9" s="15" t="s">
        <v>57</v>
      </c>
      <c r="F9" s="15" t="s">
        <v>58</v>
      </c>
      <c r="G9" s="15" t="s">
        <v>66</v>
      </c>
      <c r="H9" s="15" t="s">
        <v>16</v>
      </c>
      <c r="I9" s="16">
        <v>1</v>
      </c>
      <c r="J9" s="17">
        <v>46244</v>
      </c>
      <c r="K9" s="17">
        <v>46276</v>
      </c>
      <c r="L9" s="15" t="s">
        <v>103</v>
      </c>
      <c r="M9" s="17">
        <v>46275</v>
      </c>
      <c r="N9" s="15" t="s">
        <v>104</v>
      </c>
      <c r="O9" s="15" t="s">
        <v>105</v>
      </c>
      <c r="P9" s="15"/>
    </row>
    <row r="10" spans="1:16" ht="30" x14ac:dyDescent="0.25">
      <c r="A10" s="15" t="s">
        <v>106</v>
      </c>
      <c r="B10" s="15" t="s">
        <v>63</v>
      </c>
      <c r="C10" s="15" t="s">
        <v>107</v>
      </c>
      <c r="D10" s="15" t="s">
        <v>102</v>
      </c>
      <c r="E10" s="15" t="s">
        <v>57</v>
      </c>
      <c r="F10" s="15" t="s">
        <v>72</v>
      </c>
      <c r="G10" s="15" t="s">
        <v>66</v>
      </c>
      <c r="H10" s="15" t="s">
        <v>73</v>
      </c>
      <c r="I10" s="16">
        <v>0.72</v>
      </c>
      <c r="J10" s="17">
        <v>46258</v>
      </c>
      <c r="K10" s="17">
        <v>46295</v>
      </c>
      <c r="L10" s="15" t="s">
        <v>108</v>
      </c>
      <c r="M10" s="17">
        <v>46295</v>
      </c>
      <c r="N10" s="15" t="s">
        <v>109</v>
      </c>
      <c r="O10" s="15" t="s">
        <v>110</v>
      </c>
      <c r="P10" s="15"/>
    </row>
    <row r="11" spans="1:16" ht="30" x14ac:dyDescent="0.25">
      <c r="A11" s="15" t="s">
        <v>111</v>
      </c>
      <c r="B11" s="15" t="s">
        <v>112</v>
      </c>
      <c r="C11" s="15" t="s">
        <v>113</v>
      </c>
      <c r="D11" s="15" t="s">
        <v>114</v>
      </c>
      <c r="E11" s="15" t="s">
        <v>115</v>
      </c>
      <c r="F11" s="15" t="s">
        <v>96</v>
      </c>
      <c r="G11" s="15" t="s">
        <v>66</v>
      </c>
      <c r="H11" s="15" t="s">
        <v>18</v>
      </c>
      <c r="I11" s="16">
        <v>0.35</v>
      </c>
      <c r="J11" s="17">
        <v>46265</v>
      </c>
      <c r="K11" s="17">
        <v>46290</v>
      </c>
      <c r="L11" s="15" t="s">
        <v>116</v>
      </c>
      <c r="M11" s="17">
        <v>46289</v>
      </c>
      <c r="N11" s="15" t="s">
        <v>117</v>
      </c>
      <c r="O11" s="15" t="s">
        <v>118</v>
      </c>
      <c r="P11" s="15" t="s">
        <v>119</v>
      </c>
    </row>
    <row r="12" spans="1:16" ht="30" x14ac:dyDescent="0.25">
      <c r="A12" s="15" t="s">
        <v>120</v>
      </c>
      <c r="B12" s="15" t="s">
        <v>121</v>
      </c>
      <c r="C12" s="15" t="s">
        <v>122</v>
      </c>
      <c r="D12" s="15" t="s">
        <v>123</v>
      </c>
      <c r="E12" s="15" t="s">
        <v>57</v>
      </c>
      <c r="F12" s="15" t="s">
        <v>58</v>
      </c>
      <c r="G12" s="15" t="s">
        <v>124</v>
      </c>
      <c r="H12" s="15" t="s">
        <v>16</v>
      </c>
      <c r="I12" s="16">
        <v>1</v>
      </c>
      <c r="J12" s="17">
        <v>46244</v>
      </c>
      <c r="K12" s="17">
        <v>46262</v>
      </c>
      <c r="L12" s="15" t="s">
        <v>53</v>
      </c>
      <c r="M12" s="17">
        <v>46261</v>
      </c>
      <c r="N12" s="15" t="s">
        <v>125</v>
      </c>
      <c r="O12" s="15" t="s">
        <v>126</v>
      </c>
      <c r="P12" s="15"/>
    </row>
    <row r="13" spans="1:16" ht="30" x14ac:dyDescent="0.25">
      <c r="A13" s="15" t="s">
        <v>127</v>
      </c>
      <c r="B13" s="15" t="s">
        <v>121</v>
      </c>
      <c r="C13" s="15" t="s">
        <v>128</v>
      </c>
      <c r="D13" s="15" t="s">
        <v>123</v>
      </c>
      <c r="E13" s="15" t="s">
        <v>85</v>
      </c>
      <c r="F13" s="15" t="s">
        <v>72</v>
      </c>
      <c r="G13" s="15" t="s">
        <v>124</v>
      </c>
      <c r="H13" s="15" t="s">
        <v>73</v>
      </c>
      <c r="I13" s="16">
        <v>0.4</v>
      </c>
      <c r="J13" s="17">
        <v>46286</v>
      </c>
      <c r="K13" s="17">
        <v>46302</v>
      </c>
      <c r="L13" s="15" t="s">
        <v>129</v>
      </c>
      <c r="M13" s="17">
        <v>46295</v>
      </c>
      <c r="N13" s="15" t="s">
        <v>130</v>
      </c>
      <c r="O13" s="15" t="s">
        <v>131</v>
      </c>
      <c r="P13" s="15"/>
    </row>
    <row r="14" spans="1:16" x14ac:dyDescent="0.25">
      <c r="A14" s="15" t="s">
        <v>132</v>
      </c>
      <c r="B14" s="15" t="s">
        <v>133</v>
      </c>
      <c r="C14" s="15" t="s">
        <v>134</v>
      </c>
      <c r="D14" s="15" t="s">
        <v>135</v>
      </c>
      <c r="E14" s="15" t="s">
        <v>57</v>
      </c>
      <c r="F14" s="15" t="s">
        <v>58</v>
      </c>
      <c r="G14" s="15" t="s">
        <v>39</v>
      </c>
      <c r="H14" s="15" t="s">
        <v>16</v>
      </c>
      <c r="I14" s="16">
        <v>1</v>
      </c>
      <c r="J14" s="17">
        <v>46258</v>
      </c>
      <c r="K14" s="17">
        <v>46276</v>
      </c>
      <c r="L14" s="15" t="s">
        <v>53</v>
      </c>
      <c r="M14" s="17">
        <v>46276</v>
      </c>
      <c r="N14" s="15" t="s">
        <v>136</v>
      </c>
      <c r="O14" s="15" t="s">
        <v>137</v>
      </c>
      <c r="P14" s="15"/>
    </row>
    <row r="15" spans="1:16" ht="30" x14ac:dyDescent="0.25">
      <c r="A15" s="15" t="s">
        <v>138</v>
      </c>
      <c r="B15" s="15" t="s">
        <v>133</v>
      </c>
      <c r="C15" s="15" t="s">
        <v>139</v>
      </c>
      <c r="D15" s="15" t="s">
        <v>135</v>
      </c>
      <c r="E15" s="15" t="s">
        <v>85</v>
      </c>
      <c r="F15" s="15" t="s">
        <v>72</v>
      </c>
      <c r="G15" s="15" t="s">
        <v>59</v>
      </c>
      <c r="H15" s="15" t="s">
        <v>73</v>
      </c>
      <c r="I15" s="16">
        <v>0.55000000000000004</v>
      </c>
      <c r="J15" s="17">
        <v>46286</v>
      </c>
      <c r="K15" s="17">
        <v>46297</v>
      </c>
      <c r="L15" s="15" t="s">
        <v>140</v>
      </c>
      <c r="M15" s="17">
        <v>46295</v>
      </c>
      <c r="N15" s="15" t="s">
        <v>141</v>
      </c>
      <c r="O15" s="15" t="s">
        <v>142</v>
      </c>
      <c r="P15" s="15"/>
    </row>
    <row r="16" spans="1:16" ht="30" x14ac:dyDescent="0.25">
      <c r="A16" s="15" t="s">
        <v>143</v>
      </c>
      <c r="B16" s="15" t="s">
        <v>133</v>
      </c>
      <c r="C16" s="15" t="s">
        <v>144</v>
      </c>
      <c r="D16" s="15" t="s">
        <v>84</v>
      </c>
      <c r="E16" s="15" t="s">
        <v>85</v>
      </c>
      <c r="F16" s="15" t="s">
        <v>72</v>
      </c>
      <c r="G16" s="15" t="s">
        <v>39</v>
      </c>
      <c r="H16" s="15" t="s">
        <v>73</v>
      </c>
      <c r="I16" s="16">
        <v>0.5</v>
      </c>
      <c r="J16" s="17">
        <v>46289</v>
      </c>
      <c r="K16" s="17">
        <v>46304</v>
      </c>
      <c r="L16" s="15" t="s">
        <v>138</v>
      </c>
      <c r="M16" s="17">
        <v>46295</v>
      </c>
      <c r="N16" s="15" t="s">
        <v>145</v>
      </c>
      <c r="O16" s="15" t="s">
        <v>146</v>
      </c>
      <c r="P16" s="15"/>
    </row>
    <row r="17" spans="1:16" x14ac:dyDescent="0.25">
      <c r="A17" s="15" t="s">
        <v>147</v>
      </c>
      <c r="B17" s="15" t="s">
        <v>148</v>
      </c>
      <c r="C17" s="15" t="s">
        <v>149</v>
      </c>
      <c r="D17" s="15" t="s">
        <v>150</v>
      </c>
      <c r="E17" s="15" t="s">
        <v>57</v>
      </c>
      <c r="F17" s="15" t="s">
        <v>58</v>
      </c>
      <c r="G17" s="15" t="s">
        <v>66</v>
      </c>
      <c r="H17" s="15" t="s">
        <v>73</v>
      </c>
      <c r="I17" s="16">
        <v>0.82</v>
      </c>
      <c r="J17" s="17">
        <v>46251</v>
      </c>
      <c r="K17" s="17">
        <v>46300</v>
      </c>
      <c r="L17" s="15" t="s">
        <v>151</v>
      </c>
      <c r="M17" s="17">
        <v>46295</v>
      </c>
      <c r="N17" s="15" t="s">
        <v>152</v>
      </c>
      <c r="O17" s="15" t="s">
        <v>153</v>
      </c>
      <c r="P17" s="15"/>
    </row>
    <row r="18" spans="1:16" x14ac:dyDescent="0.25">
      <c r="A18" s="15" t="s">
        <v>154</v>
      </c>
      <c r="B18" s="15" t="s">
        <v>148</v>
      </c>
      <c r="C18" s="15" t="s">
        <v>155</v>
      </c>
      <c r="D18" s="15" t="s">
        <v>150</v>
      </c>
      <c r="E18" s="15" t="s">
        <v>115</v>
      </c>
      <c r="F18" s="15" t="s">
        <v>72</v>
      </c>
      <c r="G18" s="15" t="s">
        <v>39</v>
      </c>
      <c r="H18" s="15" t="s">
        <v>156</v>
      </c>
      <c r="I18" s="16">
        <v>0</v>
      </c>
      <c r="J18" s="17">
        <v>46296</v>
      </c>
      <c r="K18" s="17">
        <v>46303</v>
      </c>
      <c r="L18" s="15" t="s">
        <v>69</v>
      </c>
      <c r="M18" s="17">
        <v>46287</v>
      </c>
      <c r="N18" s="15" t="s">
        <v>157</v>
      </c>
      <c r="O18" s="15" t="s">
        <v>158</v>
      </c>
      <c r="P18" s="15"/>
    </row>
    <row r="19" spans="1:16" ht="30" x14ac:dyDescent="0.25">
      <c r="A19" s="15" t="s">
        <v>159</v>
      </c>
      <c r="B19" s="15" t="s">
        <v>160</v>
      </c>
      <c r="C19" s="15" t="s">
        <v>161</v>
      </c>
      <c r="D19" s="15" t="s">
        <v>162</v>
      </c>
      <c r="E19" s="15" t="s">
        <v>115</v>
      </c>
      <c r="F19" s="15" t="s">
        <v>58</v>
      </c>
      <c r="G19" s="15" t="s">
        <v>66</v>
      </c>
      <c r="H19" s="15" t="s">
        <v>73</v>
      </c>
      <c r="I19" s="16">
        <v>0.7</v>
      </c>
      <c r="J19" s="17">
        <v>46272</v>
      </c>
      <c r="K19" s="17">
        <v>46302</v>
      </c>
      <c r="L19" s="15" t="s">
        <v>147</v>
      </c>
      <c r="M19" s="17">
        <v>46294</v>
      </c>
      <c r="N19" s="15" t="s">
        <v>163</v>
      </c>
      <c r="O19" s="15" t="s">
        <v>164</v>
      </c>
      <c r="P19" s="15"/>
    </row>
    <row r="20" spans="1:16" x14ac:dyDescent="0.25">
      <c r="A20" s="15" t="s">
        <v>165</v>
      </c>
      <c r="B20" s="15" t="s">
        <v>160</v>
      </c>
      <c r="C20" s="15" t="s">
        <v>166</v>
      </c>
      <c r="D20" s="15" t="s">
        <v>162</v>
      </c>
      <c r="E20" s="15" t="s">
        <v>57</v>
      </c>
      <c r="F20" s="15" t="s">
        <v>72</v>
      </c>
      <c r="G20" s="15" t="s">
        <v>59</v>
      </c>
      <c r="H20" s="15" t="s">
        <v>156</v>
      </c>
      <c r="I20" s="16">
        <v>0</v>
      </c>
      <c r="J20" s="17">
        <v>46303</v>
      </c>
      <c r="K20" s="17">
        <v>46307</v>
      </c>
      <c r="L20" s="15" t="s">
        <v>167</v>
      </c>
      <c r="M20" s="17">
        <v>46294</v>
      </c>
      <c r="N20" s="15" t="s">
        <v>168</v>
      </c>
      <c r="O20" s="15" t="s">
        <v>169</v>
      </c>
      <c r="P20" s="15"/>
    </row>
    <row r="21" spans="1:16" ht="30" x14ac:dyDescent="0.25">
      <c r="A21" s="15" t="s">
        <v>170</v>
      </c>
      <c r="B21" s="15" t="s">
        <v>160</v>
      </c>
      <c r="C21" s="15" t="s">
        <v>171</v>
      </c>
      <c r="D21" s="15" t="s">
        <v>172</v>
      </c>
      <c r="E21" s="15" t="s">
        <v>57</v>
      </c>
      <c r="F21" s="15" t="s">
        <v>72</v>
      </c>
      <c r="G21" s="15" t="s">
        <v>66</v>
      </c>
      <c r="H21" s="15" t="s">
        <v>73</v>
      </c>
      <c r="I21" s="16">
        <v>0.45</v>
      </c>
      <c r="J21" s="17">
        <v>46279</v>
      </c>
      <c r="K21" s="17">
        <v>46304</v>
      </c>
      <c r="L21" s="15" t="s">
        <v>173</v>
      </c>
      <c r="M21" s="17">
        <v>46293</v>
      </c>
      <c r="N21" s="15" t="s">
        <v>174</v>
      </c>
      <c r="O21" s="15" t="s">
        <v>175</v>
      </c>
      <c r="P21" s="15"/>
    </row>
    <row r="22" spans="1:16" ht="30" x14ac:dyDescent="0.25">
      <c r="A22" s="15" t="s">
        <v>176</v>
      </c>
      <c r="B22" s="15" t="s">
        <v>177</v>
      </c>
      <c r="C22" s="15" t="s">
        <v>178</v>
      </c>
      <c r="D22" s="15" t="s">
        <v>179</v>
      </c>
      <c r="E22" s="15" t="s">
        <v>57</v>
      </c>
      <c r="F22" s="15" t="s">
        <v>58</v>
      </c>
      <c r="G22" s="15" t="s">
        <v>66</v>
      </c>
      <c r="H22" s="15" t="s">
        <v>73</v>
      </c>
      <c r="I22" s="16">
        <v>0.75</v>
      </c>
      <c r="J22" s="17">
        <v>46272</v>
      </c>
      <c r="K22" s="17">
        <v>46304</v>
      </c>
      <c r="L22" s="15" t="s">
        <v>180</v>
      </c>
      <c r="M22" s="17">
        <v>46295</v>
      </c>
      <c r="N22" s="15" t="s">
        <v>181</v>
      </c>
      <c r="O22" s="15" t="s">
        <v>182</v>
      </c>
      <c r="P22" s="15"/>
    </row>
    <row r="23" spans="1:16" x14ac:dyDescent="0.25">
      <c r="A23" s="15" t="s">
        <v>183</v>
      </c>
      <c r="B23" s="15" t="s">
        <v>177</v>
      </c>
      <c r="C23" s="15" t="s">
        <v>184</v>
      </c>
      <c r="D23" s="15" t="s">
        <v>179</v>
      </c>
      <c r="E23" s="15" t="s">
        <v>57</v>
      </c>
      <c r="F23" s="15" t="s">
        <v>58</v>
      </c>
      <c r="G23" s="15" t="s">
        <v>124</v>
      </c>
      <c r="H23" s="15" t="s">
        <v>73</v>
      </c>
      <c r="I23" s="16">
        <v>0.6</v>
      </c>
      <c r="J23" s="17">
        <v>46279</v>
      </c>
      <c r="K23" s="17">
        <v>46307</v>
      </c>
      <c r="L23" s="15" t="s">
        <v>77</v>
      </c>
      <c r="M23" s="17">
        <v>46295</v>
      </c>
      <c r="N23" s="15" t="s">
        <v>185</v>
      </c>
      <c r="O23" s="15" t="s">
        <v>186</v>
      </c>
      <c r="P23" s="15"/>
    </row>
    <row r="24" spans="1:16" x14ac:dyDescent="0.25">
      <c r="A24" s="15" t="s">
        <v>187</v>
      </c>
      <c r="B24" s="15" t="s">
        <v>177</v>
      </c>
      <c r="C24" s="15" t="s">
        <v>188</v>
      </c>
      <c r="D24" s="15" t="s">
        <v>80</v>
      </c>
      <c r="E24" s="15" t="s">
        <v>57</v>
      </c>
      <c r="F24" s="15" t="s">
        <v>58</v>
      </c>
      <c r="G24" s="15" t="s">
        <v>59</v>
      </c>
      <c r="H24" s="15" t="s">
        <v>156</v>
      </c>
      <c r="I24" s="16">
        <v>0</v>
      </c>
      <c r="J24" s="17">
        <v>46308</v>
      </c>
      <c r="K24" s="17">
        <v>46310</v>
      </c>
      <c r="L24" s="15" t="s">
        <v>189</v>
      </c>
      <c r="M24" s="17">
        <v>46288</v>
      </c>
      <c r="N24" s="15" t="s">
        <v>190</v>
      </c>
      <c r="O24" s="15" t="s">
        <v>191</v>
      </c>
      <c r="P24" s="15"/>
    </row>
    <row r="25" spans="1:16" ht="30" x14ac:dyDescent="0.25">
      <c r="A25" s="15" t="s">
        <v>192</v>
      </c>
      <c r="B25" s="15" t="s">
        <v>54</v>
      </c>
      <c r="C25" s="15" t="s">
        <v>193</v>
      </c>
      <c r="D25" s="15" t="s">
        <v>56</v>
      </c>
      <c r="E25" s="15" t="s">
        <v>85</v>
      </c>
      <c r="F25" s="15" t="s">
        <v>72</v>
      </c>
      <c r="G25" s="15" t="s">
        <v>194</v>
      </c>
      <c r="H25" s="15" t="s">
        <v>73</v>
      </c>
      <c r="I25" s="16">
        <v>0.6</v>
      </c>
      <c r="J25" s="17">
        <v>46286</v>
      </c>
      <c r="K25" s="17">
        <v>46303</v>
      </c>
      <c r="L25" s="15" t="s">
        <v>195</v>
      </c>
      <c r="M25" s="17">
        <v>46295</v>
      </c>
      <c r="N25" s="15" t="s">
        <v>196</v>
      </c>
      <c r="O25" s="15" t="s">
        <v>197</v>
      </c>
      <c r="P25" s="15" t="s">
        <v>198</v>
      </c>
    </row>
    <row r="26" spans="1:16" ht="30" x14ac:dyDescent="0.25">
      <c r="A26" s="15" t="s">
        <v>199</v>
      </c>
      <c r="B26" s="15" t="s">
        <v>54</v>
      </c>
      <c r="C26" s="15" t="s">
        <v>200</v>
      </c>
      <c r="D26" s="15" t="s">
        <v>201</v>
      </c>
      <c r="E26" s="15" t="s">
        <v>85</v>
      </c>
      <c r="F26" s="15" t="s">
        <v>58</v>
      </c>
      <c r="G26" s="15" t="s">
        <v>59</v>
      </c>
      <c r="H26" s="15" t="s">
        <v>156</v>
      </c>
      <c r="I26" s="16">
        <v>0</v>
      </c>
      <c r="J26" s="17">
        <v>46314</v>
      </c>
      <c r="K26" s="17">
        <v>46315</v>
      </c>
      <c r="L26" s="15" t="s">
        <v>192</v>
      </c>
      <c r="M26" s="17">
        <v>46295</v>
      </c>
      <c r="N26" s="15" t="s">
        <v>202</v>
      </c>
      <c r="O26" s="15" t="s">
        <v>203</v>
      </c>
      <c r="P26" s="15"/>
    </row>
    <row r="27" spans="1:16" x14ac:dyDescent="0.25">
      <c r="A27" s="15" t="s">
        <v>204</v>
      </c>
      <c r="B27" s="15" t="s">
        <v>205</v>
      </c>
      <c r="C27" s="15" t="s">
        <v>206</v>
      </c>
      <c r="D27" s="15" t="s">
        <v>80</v>
      </c>
      <c r="E27" s="15" t="s">
        <v>85</v>
      </c>
      <c r="F27" s="15" t="s">
        <v>58</v>
      </c>
      <c r="G27" s="15" t="s">
        <v>59</v>
      </c>
      <c r="H27" s="15" t="s">
        <v>156</v>
      </c>
      <c r="I27" s="16">
        <v>0</v>
      </c>
      <c r="J27" s="17">
        <v>46319</v>
      </c>
      <c r="K27" s="17">
        <v>46320</v>
      </c>
      <c r="L27" s="15" t="s">
        <v>207</v>
      </c>
      <c r="M27" s="17">
        <v>46295</v>
      </c>
      <c r="N27" s="15" t="s">
        <v>208</v>
      </c>
      <c r="O27" s="15" t="s">
        <v>209</v>
      </c>
      <c r="P27" s="15"/>
    </row>
    <row r="28" spans="1:16" ht="30" x14ac:dyDescent="0.25">
      <c r="A28" s="15" t="s">
        <v>210</v>
      </c>
      <c r="B28" s="15" t="s">
        <v>205</v>
      </c>
      <c r="C28" s="15" t="s">
        <v>211</v>
      </c>
      <c r="D28" s="15" t="s">
        <v>56</v>
      </c>
      <c r="E28" s="15" t="s">
        <v>85</v>
      </c>
      <c r="F28" s="15" t="s">
        <v>72</v>
      </c>
      <c r="G28" s="15" t="s">
        <v>59</v>
      </c>
      <c r="H28" s="15" t="s">
        <v>156</v>
      </c>
      <c r="I28" s="16">
        <v>0</v>
      </c>
      <c r="J28" s="17">
        <v>46325</v>
      </c>
      <c r="K28" s="17">
        <v>46325</v>
      </c>
      <c r="L28" s="15" t="s">
        <v>212</v>
      </c>
      <c r="M28" s="17">
        <v>46295</v>
      </c>
      <c r="N28" s="15" t="s">
        <v>213</v>
      </c>
      <c r="O28" s="15" t="s">
        <v>214</v>
      </c>
      <c r="P28" s="15"/>
    </row>
    <row r="29" spans="1:16" ht="30" x14ac:dyDescent="0.25">
      <c r="A29" s="15" t="s">
        <v>215</v>
      </c>
      <c r="B29" s="15" t="s">
        <v>54</v>
      </c>
      <c r="C29" s="15" t="s">
        <v>216</v>
      </c>
      <c r="D29" s="15" t="s">
        <v>56</v>
      </c>
      <c r="E29" s="15" t="s">
        <v>115</v>
      </c>
      <c r="F29" s="15" t="s">
        <v>58</v>
      </c>
      <c r="G29" s="15" t="s">
        <v>39</v>
      </c>
      <c r="H29" s="15" t="s">
        <v>73</v>
      </c>
      <c r="I29" s="16">
        <v>0.8</v>
      </c>
      <c r="J29" s="17">
        <v>46219</v>
      </c>
      <c r="K29" s="17">
        <v>46324</v>
      </c>
      <c r="L29" s="15" t="s">
        <v>217</v>
      </c>
      <c r="M29" s="17">
        <v>46290</v>
      </c>
      <c r="N29" s="15" t="s">
        <v>218</v>
      </c>
      <c r="O29" s="15" t="s">
        <v>219</v>
      </c>
      <c r="P29" s="15"/>
    </row>
  </sheetData>
  <conditionalFormatting sqref="F2:F200">
    <cfRule type="expression" dxfId="3" priority="1">
      <formula>F2="Green"</formula>
    </cfRule>
    <cfRule type="expression" dxfId="2" priority="2">
      <formula>F2="Amber"</formula>
    </cfRule>
    <cfRule type="expression" dxfId="1" priority="3">
      <formula>F2="Red"</formula>
    </cfRule>
  </conditionalFormatting>
  <conditionalFormatting sqref="I2:I200">
    <cfRule type="colorScale" priority="4">
      <colorScale>
        <cfvo type="num" val="0"/>
        <cfvo type="num" val="0.5"/>
        <cfvo type="num" val="1"/>
        <color rgb="FFF8696B"/>
        <color rgb="FFFFEB84"/>
        <color rgb="FF63BE7B"/>
      </colorScale>
    </cfRule>
  </conditionalFormatting>
  <conditionalFormatting sqref="K2:K200">
    <cfRule type="expression" dxfId="0" priority="5">
      <formula>AND($K2&lt;TODAY(),$H2&lt;&gt;"Complete")</formula>
    </cfRule>
  </conditionalFormatting>
  <dataValidations count="3">
    <dataValidation type="list" allowBlank="1" sqref="E2:E200" xr:uid="{00000000-0002-0000-0100-000000000000}">
      <formula1>"Critical,High,Medium,Low"</formula1>
    </dataValidation>
    <dataValidation type="list" allowBlank="1" sqref="F2:F200" xr:uid="{00000000-0002-0000-0100-000001000000}">
      <formula1>"Green,Amber,Red"</formula1>
    </dataValidation>
    <dataValidation type="list" allowBlank="1" sqref="H2:H200" xr:uid="{00000000-0002-0000-0100-000002000000}">
      <formula1>"Not Started,In Progress,Blocked,Complete"</formula1>
    </dataValidation>
  </dataValidations>
  <pageMargins left="0.75" right="0.75" top="1" bottom="1" header="0.5" footer="0.5"/>
  <pageSetup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8"/>
  <sheetViews>
    <sheetView showGridLines="0" workbookViewId="0">
      <pane ySplit="1" topLeftCell="A2" activePane="bottomLeft" state="frozen"/>
      <selection pane="bottomLeft"/>
    </sheetView>
  </sheetViews>
  <sheetFormatPr defaultRowHeight="15" x14ac:dyDescent="0.25"/>
  <cols>
    <col min="1" max="1" width="25" customWidth="1"/>
    <col min="2" max="2" width="18" customWidth="1"/>
    <col min="3" max="4" width="15" customWidth="1"/>
    <col min="5" max="6" width="14" customWidth="1"/>
    <col min="7" max="7" width="34" customWidth="1"/>
    <col min="8" max="8" width="45" customWidth="1"/>
  </cols>
  <sheetData>
    <row r="1" spans="1:8" x14ac:dyDescent="0.25">
      <c r="A1" s="18" t="s">
        <v>59</v>
      </c>
      <c r="B1" s="18" t="s">
        <v>40</v>
      </c>
      <c r="C1" s="18" t="s">
        <v>220</v>
      </c>
      <c r="D1" s="18" t="s">
        <v>221</v>
      </c>
      <c r="E1" s="18" t="s">
        <v>44</v>
      </c>
      <c r="F1" s="18" t="s">
        <v>222</v>
      </c>
      <c r="G1" s="18" t="s">
        <v>223</v>
      </c>
      <c r="H1" s="18" t="s">
        <v>224</v>
      </c>
    </row>
    <row r="2" spans="1:8" x14ac:dyDescent="0.25">
      <c r="A2" s="15" t="s">
        <v>225</v>
      </c>
      <c r="B2" s="15" t="s">
        <v>71</v>
      </c>
      <c r="C2" s="17">
        <v>46283</v>
      </c>
      <c r="D2" s="17">
        <v>46300</v>
      </c>
      <c r="E2" s="15" t="s">
        <v>226</v>
      </c>
      <c r="F2" s="15" t="s">
        <v>115</v>
      </c>
      <c r="G2" s="15" t="s">
        <v>227</v>
      </c>
      <c r="H2" s="15" t="s">
        <v>228</v>
      </c>
    </row>
    <row r="3" spans="1:8" ht="30" x14ac:dyDescent="0.25">
      <c r="A3" s="15" t="s">
        <v>229</v>
      </c>
      <c r="B3" s="15" t="s">
        <v>135</v>
      </c>
      <c r="C3" s="17">
        <v>46297</v>
      </c>
      <c r="D3" s="17">
        <v>46301</v>
      </c>
      <c r="E3" s="15" t="s">
        <v>226</v>
      </c>
      <c r="F3" s="15" t="s">
        <v>230</v>
      </c>
      <c r="G3" s="15" t="s">
        <v>231</v>
      </c>
      <c r="H3" s="15" t="s">
        <v>232</v>
      </c>
    </row>
    <row r="4" spans="1:8" x14ac:dyDescent="0.25">
      <c r="A4" s="15" t="s">
        <v>233</v>
      </c>
      <c r="B4" s="15" t="s">
        <v>123</v>
      </c>
      <c r="C4" s="17">
        <v>46304</v>
      </c>
      <c r="D4" s="17">
        <v>46308</v>
      </c>
      <c r="E4" s="15" t="s">
        <v>226</v>
      </c>
      <c r="F4" s="15" t="s">
        <v>115</v>
      </c>
      <c r="G4" s="15" t="s">
        <v>234</v>
      </c>
      <c r="H4" s="15" t="s">
        <v>235</v>
      </c>
    </row>
    <row r="5" spans="1:8" x14ac:dyDescent="0.25">
      <c r="A5" s="15" t="s">
        <v>236</v>
      </c>
      <c r="B5" s="15" t="s">
        <v>162</v>
      </c>
      <c r="C5" s="17">
        <v>46307</v>
      </c>
      <c r="D5" s="17">
        <v>46307</v>
      </c>
      <c r="E5" s="15" t="s">
        <v>237</v>
      </c>
      <c r="F5" s="15" t="s">
        <v>115</v>
      </c>
      <c r="G5" s="15" t="s">
        <v>238</v>
      </c>
      <c r="H5" s="15" t="s">
        <v>239</v>
      </c>
    </row>
    <row r="6" spans="1:8" ht="30" x14ac:dyDescent="0.25">
      <c r="A6" s="15" t="s">
        <v>240</v>
      </c>
      <c r="B6" s="15" t="s">
        <v>201</v>
      </c>
      <c r="C6" s="17">
        <v>46315</v>
      </c>
      <c r="D6" s="17">
        <v>46315</v>
      </c>
      <c r="E6" s="15" t="s">
        <v>237</v>
      </c>
      <c r="F6" s="15" t="s">
        <v>115</v>
      </c>
      <c r="G6" s="15" t="s">
        <v>241</v>
      </c>
      <c r="H6" s="15" t="s">
        <v>242</v>
      </c>
    </row>
    <row r="7" spans="1:8" ht="30" x14ac:dyDescent="0.25">
      <c r="A7" s="15" t="s">
        <v>206</v>
      </c>
      <c r="B7" s="15" t="s">
        <v>80</v>
      </c>
      <c r="C7" s="17">
        <v>46320</v>
      </c>
      <c r="D7" s="17">
        <v>46320</v>
      </c>
      <c r="E7" s="15" t="s">
        <v>237</v>
      </c>
      <c r="F7" s="15" t="s">
        <v>115</v>
      </c>
      <c r="G7" s="15" t="s">
        <v>243</v>
      </c>
      <c r="H7" s="15" t="s">
        <v>244</v>
      </c>
    </row>
    <row r="8" spans="1:8" ht="30" x14ac:dyDescent="0.25">
      <c r="A8" s="15" t="s">
        <v>245</v>
      </c>
      <c r="B8" s="15" t="s">
        <v>56</v>
      </c>
      <c r="C8" s="17">
        <v>46325</v>
      </c>
      <c r="D8" s="17">
        <v>46325</v>
      </c>
      <c r="E8" s="15" t="s">
        <v>226</v>
      </c>
      <c r="F8" s="15" t="s">
        <v>115</v>
      </c>
      <c r="G8" s="15" t="s">
        <v>246</v>
      </c>
      <c r="H8" s="15" t="s">
        <v>247</v>
      </c>
    </row>
  </sheetData>
  <pageMargins left="0.75" right="0.75" top="1" bottom="1" header="0.5" footer="0.5"/>
  <pageSetup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1"/>
  <sheetViews>
    <sheetView showGridLines="0" workbookViewId="0">
      <pane ySplit="1" topLeftCell="A2" activePane="bottomLeft" state="frozen"/>
      <selection pane="bottomLeft"/>
    </sheetView>
  </sheetViews>
  <sheetFormatPr defaultRowHeight="15" x14ac:dyDescent="0.25"/>
  <cols>
    <col min="1" max="1" width="10" customWidth="1"/>
    <col min="2" max="2" width="16" customWidth="1"/>
    <col min="3" max="3" width="11" customWidth="1"/>
    <col min="4" max="4" width="48" customWidth="1"/>
    <col min="5" max="5" width="12" customWidth="1"/>
    <col min="6" max="6" width="13" customWidth="1"/>
    <col min="7" max="7" width="11" customWidth="1"/>
    <col min="8" max="8" width="18" customWidth="1"/>
    <col min="9" max="9" width="48" customWidth="1"/>
    <col min="10" max="11" width="14" customWidth="1"/>
    <col min="12" max="12" width="45" customWidth="1"/>
  </cols>
  <sheetData>
    <row r="1" spans="1:12" x14ac:dyDescent="0.25">
      <c r="A1" s="18" t="s">
        <v>248</v>
      </c>
      <c r="B1" s="18" t="s">
        <v>249</v>
      </c>
      <c r="C1" s="18" t="s">
        <v>43</v>
      </c>
      <c r="D1" s="18" t="s">
        <v>250</v>
      </c>
      <c r="E1" s="18" t="s">
        <v>251</v>
      </c>
      <c r="F1" s="18" t="s">
        <v>252</v>
      </c>
      <c r="G1" s="18" t="s">
        <v>253</v>
      </c>
      <c r="H1" s="18" t="s">
        <v>40</v>
      </c>
      <c r="I1" s="18" t="s">
        <v>254</v>
      </c>
      <c r="J1" s="18" t="s">
        <v>47</v>
      </c>
      <c r="K1" s="18" t="s">
        <v>255</v>
      </c>
      <c r="L1" s="18" t="s">
        <v>256</v>
      </c>
    </row>
    <row r="2" spans="1:12" ht="30" x14ac:dyDescent="0.25">
      <c r="A2" s="15" t="s">
        <v>257</v>
      </c>
      <c r="B2" s="15" t="s">
        <v>48</v>
      </c>
      <c r="C2" s="15" t="s">
        <v>258</v>
      </c>
      <c r="D2" s="15" t="s">
        <v>259</v>
      </c>
      <c r="E2" s="15" t="s">
        <v>57</v>
      </c>
      <c r="F2" s="15" t="s">
        <v>57</v>
      </c>
      <c r="G2" s="15" t="s">
        <v>96</v>
      </c>
      <c r="H2" s="15" t="s">
        <v>91</v>
      </c>
      <c r="I2" s="15" t="s">
        <v>260</v>
      </c>
      <c r="J2" s="17">
        <v>46297</v>
      </c>
      <c r="K2" s="15" t="s">
        <v>261</v>
      </c>
      <c r="L2" s="15" t="s">
        <v>262</v>
      </c>
    </row>
    <row r="3" spans="1:12" x14ac:dyDescent="0.25">
      <c r="A3" s="15" t="s">
        <v>263</v>
      </c>
      <c r="B3" s="15" t="s">
        <v>264</v>
      </c>
      <c r="C3" s="15" t="s">
        <v>258</v>
      </c>
      <c r="D3" s="15" t="s">
        <v>265</v>
      </c>
      <c r="E3" s="15" t="s">
        <v>115</v>
      </c>
      <c r="F3" s="15" t="s">
        <v>57</v>
      </c>
      <c r="G3" s="15" t="s">
        <v>96</v>
      </c>
      <c r="H3" s="15" t="s">
        <v>114</v>
      </c>
      <c r="I3" s="15" t="s">
        <v>266</v>
      </c>
      <c r="J3" s="17">
        <v>46303</v>
      </c>
      <c r="K3" s="15" t="s">
        <v>261</v>
      </c>
      <c r="L3" s="15" t="s">
        <v>267</v>
      </c>
    </row>
    <row r="4" spans="1:12" ht="30" x14ac:dyDescent="0.25">
      <c r="A4" s="15" t="s">
        <v>268</v>
      </c>
      <c r="B4" s="15" t="s">
        <v>269</v>
      </c>
      <c r="C4" s="15" t="s">
        <v>270</v>
      </c>
      <c r="D4" s="15" t="s">
        <v>271</v>
      </c>
      <c r="E4" s="15" t="s">
        <v>57</v>
      </c>
      <c r="F4" s="15" t="s">
        <v>57</v>
      </c>
      <c r="G4" s="15" t="s">
        <v>96</v>
      </c>
      <c r="H4" s="15" t="s">
        <v>135</v>
      </c>
      <c r="I4" s="15" t="s">
        <v>272</v>
      </c>
      <c r="J4" s="17">
        <v>46301</v>
      </c>
      <c r="K4" s="15" t="s">
        <v>261</v>
      </c>
      <c r="L4" s="15" t="s">
        <v>273</v>
      </c>
    </row>
    <row r="5" spans="1:12" ht="30" x14ac:dyDescent="0.25">
      <c r="A5" s="15" t="s">
        <v>274</v>
      </c>
      <c r="B5" s="15" t="s">
        <v>121</v>
      </c>
      <c r="C5" s="15" t="s">
        <v>270</v>
      </c>
      <c r="D5" s="15" t="s">
        <v>275</v>
      </c>
      <c r="E5" s="15" t="s">
        <v>57</v>
      </c>
      <c r="F5" s="15" t="s">
        <v>115</v>
      </c>
      <c r="G5" s="15" t="s">
        <v>72</v>
      </c>
      <c r="H5" s="15" t="s">
        <v>123</v>
      </c>
      <c r="I5" s="15" t="s">
        <v>276</v>
      </c>
      <c r="J5" s="17">
        <v>46308</v>
      </c>
      <c r="K5" s="15" t="s">
        <v>261</v>
      </c>
      <c r="L5" s="15" t="s">
        <v>277</v>
      </c>
    </row>
    <row r="6" spans="1:12" ht="30" x14ac:dyDescent="0.25">
      <c r="A6" s="15" t="s">
        <v>278</v>
      </c>
      <c r="B6" s="15" t="s">
        <v>160</v>
      </c>
      <c r="C6" s="15" t="s">
        <v>270</v>
      </c>
      <c r="D6" s="15" t="s">
        <v>279</v>
      </c>
      <c r="E6" s="15" t="s">
        <v>115</v>
      </c>
      <c r="F6" s="15" t="s">
        <v>115</v>
      </c>
      <c r="G6" s="15" t="s">
        <v>72</v>
      </c>
      <c r="H6" s="15" t="s">
        <v>162</v>
      </c>
      <c r="I6" s="15" t="s">
        <v>280</v>
      </c>
      <c r="J6" s="17">
        <v>46303</v>
      </c>
      <c r="K6" s="15" t="s">
        <v>261</v>
      </c>
      <c r="L6" s="15" t="s">
        <v>281</v>
      </c>
    </row>
    <row r="7" spans="1:12" ht="30" x14ac:dyDescent="0.25">
      <c r="A7" s="15" t="s">
        <v>282</v>
      </c>
      <c r="B7" s="15" t="s">
        <v>148</v>
      </c>
      <c r="C7" s="15" t="s">
        <v>270</v>
      </c>
      <c r="D7" s="15" t="s">
        <v>283</v>
      </c>
      <c r="E7" s="15" t="s">
        <v>115</v>
      </c>
      <c r="F7" s="15" t="s">
        <v>115</v>
      </c>
      <c r="G7" s="15" t="s">
        <v>72</v>
      </c>
      <c r="H7" s="15" t="s">
        <v>150</v>
      </c>
      <c r="I7" s="15" t="s">
        <v>284</v>
      </c>
      <c r="J7" s="17">
        <v>46303</v>
      </c>
      <c r="K7" s="15" t="s">
        <v>261</v>
      </c>
      <c r="L7" s="15" t="s">
        <v>285</v>
      </c>
    </row>
    <row r="8" spans="1:12" ht="30" x14ac:dyDescent="0.25">
      <c r="A8" s="15" t="s">
        <v>286</v>
      </c>
      <c r="B8" s="15" t="s">
        <v>133</v>
      </c>
      <c r="C8" s="15" t="s">
        <v>258</v>
      </c>
      <c r="D8" s="15" t="s">
        <v>287</v>
      </c>
      <c r="E8" s="15" t="s">
        <v>57</v>
      </c>
      <c r="F8" s="15" t="s">
        <v>115</v>
      </c>
      <c r="G8" s="15" t="s">
        <v>72</v>
      </c>
      <c r="H8" s="15" t="s">
        <v>84</v>
      </c>
      <c r="I8" s="15" t="s">
        <v>288</v>
      </c>
      <c r="J8" s="17">
        <v>46297</v>
      </c>
      <c r="K8" s="15" t="s">
        <v>261</v>
      </c>
      <c r="L8" s="15" t="s">
        <v>277</v>
      </c>
    </row>
    <row r="9" spans="1:12" ht="30" x14ac:dyDescent="0.25">
      <c r="A9" s="15" t="s">
        <v>289</v>
      </c>
      <c r="B9" s="15" t="s">
        <v>177</v>
      </c>
      <c r="C9" s="15" t="s">
        <v>270</v>
      </c>
      <c r="D9" s="15" t="s">
        <v>290</v>
      </c>
      <c r="E9" s="15" t="s">
        <v>115</v>
      </c>
      <c r="F9" s="15" t="s">
        <v>57</v>
      </c>
      <c r="G9" s="15" t="s">
        <v>72</v>
      </c>
      <c r="H9" s="15" t="s">
        <v>179</v>
      </c>
      <c r="I9" s="15" t="s">
        <v>291</v>
      </c>
      <c r="J9" s="17">
        <v>46304</v>
      </c>
      <c r="K9" s="15" t="s">
        <v>261</v>
      </c>
      <c r="L9" s="15" t="s">
        <v>277</v>
      </c>
    </row>
    <row r="10" spans="1:12" ht="30" x14ac:dyDescent="0.25">
      <c r="A10" s="15" t="s">
        <v>292</v>
      </c>
      <c r="B10" s="15" t="s">
        <v>293</v>
      </c>
      <c r="C10" s="15" t="s">
        <v>270</v>
      </c>
      <c r="D10" s="15" t="s">
        <v>294</v>
      </c>
      <c r="E10" s="15" t="s">
        <v>115</v>
      </c>
      <c r="F10" s="15" t="s">
        <v>115</v>
      </c>
      <c r="G10" s="15" t="s">
        <v>72</v>
      </c>
      <c r="H10" s="15" t="s">
        <v>172</v>
      </c>
      <c r="I10" s="15" t="s">
        <v>295</v>
      </c>
      <c r="J10" s="17">
        <v>46304</v>
      </c>
      <c r="K10" s="15" t="s">
        <v>261</v>
      </c>
      <c r="L10" s="15" t="s">
        <v>296</v>
      </c>
    </row>
    <row r="11" spans="1:12" ht="30" x14ac:dyDescent="0.25">
      <c r="A11" s="15" t="s">
        <v>297</v>
      </c>
      <c r="B11" s="15" t="s">
        <v>298</v>
      </c>
      <c r="C11" s="15" t="s">
        <v>270</v>
      </c>
      <c r="D11" s="15" t="s">
        <v>299</v>
      </c>
      <c r="E11" s="15" t="s">
        <v>115</v>
      </c>
      <c r="F11" s="15" t="s">
        <v>115</v>
      </c>
      <c r="G11" s="15" t="s">
        <v>72</v>
      </c>
      <c r="H11" s="15" t="s">
        <v>56</v>
      </c>
      <c r="I11" s="15" t="s">
        <v>300</v>
      </c>
      <c r="J11" s="17">
        <v>46297</v>
      </c>
      <c r="K11" s="15" t="s">
        <v>301</v>
      </c>
      <c r="L11" s="15" t="s">
        <v>302</v>
      </c>
    </row>
  </sheetData>
  <pageMargins left="0.75" right="0.75" top="1" bottom="1" header="0.5" footer="0.5"/>
  <pageSetup fitToHeight="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
  <sheetViews>
    <sheetView showGridLines="0" workbookViewId="0">
      <pane ySplit="1" topLeftCell="A2" activePane="bottomLeft" state="frozen"/>
      <selection pane="bottomLeft"/>
    </sheetView>
  </sheetViews>
  <sheetFormatPr defaultRowHeight="15" x14ac:dyDescent="0.25"/>
  <cols>
    <col min="1" max="1" width="16" customWidth="1"/>
    <col min="2" max="2" width="15" customWidth="1"/>
    <col min="3" max="5" width="52" customWidth="1"/>
    <col min="6" max="6" width="46" customWidth="1"/>
  </cols>
  <sheetData>
    <row r="1" spans="1:6" x14ac:dyDescent="0.25">
      <c r="A1" s="18" t="s">
        <v>303</v>
      </c>
      <c r="B1" s="18" t="s">
        <v>304</v>
      </c>
      <c r="C1" s="18" t="s">
        <v>305</v>
      </c>
      <c r="D1" s="18" t="s">
        <v>306</v>
      </c>
      <c r="E1" s="18" t="s">
        <v>307</v>
      </c>
      <c r="F1" s="18" t="s">
        <v>308</v>
      </c>
    </row>
    <row r="2" spans="1:6" ht="30" x14ac:dyDescent="0.25">
      <c r="A2" s="17">
        <v>46275</v>
      </c>
      <c r="B2" s="15" t="s">
        <v>237</v>
      </c>
      <c r="C2" s="15" t="s">
        <v>309</v>
      </c>
      <c r="D2" s="15" t="s">
        <v>310</v>
      </c>
      <c r="E2" s="15" t="s">
        <v>311</v>
      </c>
      <c r="F2" s="15" t="s">
        <v>68</v>
      </c>
    </row>
    <row r="3" spans="1:6" ht="30" x14ac:dyDescent="0.25">
      <c r="A3" s="17">
        <v>46282</v>
      </c>
      <c r="B3" s="15" t="s">
        <v>226</v>
      </c>
      <c r="C3" s="15" t="s">
        <v>312</v>
      </c>
      <c r="D3" s="15" t="s">
        <v>313</v>
      </c>
      <c r="E3" s="15" t="s">
        <v>314</v>
      </c>
      <c r="F3" s="15" t="s">
        <v>315</v>
      </c>
    </row>
    <row r="4" spans="1:6" ht="30" x14ac:dyDescent="0.25">
      <c r="A4" s="17">
        <v>46289</v>
      </c>
      <c r="B4" s="15" t="s">
        <v>226</v>
      </c>
      <c r="C4" s="15" t="s">
        <v>316</v>
      </c>
      <c r="D4" s="15" t="s">
        <v>317</v>
      </c>
      <c r="E4" s="15" t="s">
        <v>318</v>
      </c>
      <c r="F4" s="15" t="s">
        <v>319</v>
      </c>
    </row>
    <row r="5" spans="1:6" ht="30" x14ac:dyDescent="0.25">
      <c r="A5" s="17">
        <v>46296</v>
      </c>
      <c r="B5" s="19"/>
      <c r="C5" s="15" t="s">
        <v>320</v>
      </c>
      <c r="D5" s="15" t="s">
        <v>321</v>
      </c>
      <c r="E5" s="15" t="s">
        <v>322</v>
      </c>
      <c r="F5" s="15" t="s">
        <v>323</v>
      </c>
    </row>
  </sheetData>
  <pageMargins left="0.75" right="0.75" top="1" bottom="1" header="0.5" footer="0.5"/>
  <pageSetup fitToHeight="0"/>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6"/>
  <sheetViews>
    <sheetView showGridLines="0" workbookViewId="0"/>
  </sheetViews>
  <sheetFormatPr defaultRowHeight="15" x14ac:dyDescent="0.25"/>
  <cols>
    <col min="1" max="1" width="20" customWidth="1"/>
    <col min="2" max="6" width="22" customWidth="1"/>
  </cols>
  <sheetData>
    <row r="1" spans="1:6" ht="21" x14ac:dyDescent="0.35">
      <c r="A1" s="28" t="s">
        <v>324</v>
      </c>
      <c r="B1" s="24"/>
      <c r="C1" s="24"/>
      <c r="D1" s="24"/>
      <c r="E1" s="24"/>
      <c r="F1" s="24"/>
    </row>
    <row r="2" spans="1:6" x14ac:dyDescent="0.25">
      <c r="A2" s="20" t="s">
        <v>325</v>
      </c>
      <c r="B2" s="20" t="s">
        <v>326</v>
      </c>
      <c r="C2" s="20"/>
      <c r="D2" s="20"/>
      <c r="E2" s="20"/>
      <c r="F2" s="20"/>
    </row>
    <row r="3" spans="1:6" ht="48" customHeight="1" x14ac:dyDescent="0.25">
      <c r="A3" s="21" t="s">
        <v>327</v>
      </c>
      <c r="B3" s="29" t="s">
        <v>328</v>
      </c>
      <c r="C3" s="24"/>
      <c r="D3" s="24"/>
      <c r="E3" s="24"/>
      <c r="F3" s="24"/>
    </row>
    <row r="4" spans="1:6" ht="48" customHeight="1" x14ac:dyDescent="0.25">
      <c r="A4" s="21" t="s">
        <v>329</v>
      </c>
      <c r="B4" s="29" t="s">
        <v>330</v>
      </c>
      <c r="C4" s="24"/>
      <c r="D4" s="24"/>
      <c r="E4" s="24"/>
      <c r="F4" s="24"/>
    </row>
    <row r="5" spans="1:6" ht="48" customHeight="1" x14ac:dyDescent="0.25">
      <c r="A5" s="21" t="s">
        <v>331</v>
      </c>
      <c r="B5" s="29" t="s">
        <v>332</v>
      </c>
      <c r="C5" s="24"/>
      <c r="D5" s="24"/>
      <c r="E5" s="24"/>
      <c r="F5" s="24"/>
    </row>
    <row r="6" spans="1:6" ht="48" customHeight="1" x14ac:dyDescent="0.25">
      <c r="A6" s="21" t="s">
        <v>333</v>
      </c>
      <c r="B6" s="29" t="s">
        <v>334</v>
      </c>
      <c r="C6" s="24"/>
      <c r="D6" s="24"/>
      <c r="E6" s="24"/>
      <c r="F6" s="24"/>
    </row>
    <row r="7" spans="1:6" ht="48" customHeight="1" x14ac:dyDescent="0.25">
      <c r="A7" s="21" t="s">
        <v>335</v>
      </c>
      <c r="B7" s="29" t="s">
        <v>336</v>
      </c>
      <c r="C7" s="24"/>
      <c r="D7" s="24"/>
      <c r="E7" s="24"/>
      <c r="F7" s="24"/>
    </row>
    <row r="8" spans="1:6" ht="48" customHeight="1" x14ac:dyDescent="0.25">
      <c r="A8" s="21" t="s">
        <v>337</v>
      </c>
      <c r="B8" s="29" t="s">
        <v>338</v>
      </c>
      <c r="C8" s="24"/>
      <c r="D8" s="24"/>
      <c r="E8" s="24"/>
      <c r="F8" s="24"/>
    </row>
    <row r="9" spans="1:6" ht="48" customHeight="1" x14ac:dyDescent="0.25">
      <c r="A9" s="21" t="s">
        <v>339</v>
      </c>
      <c r="B9" s="29" t="s">
        <v>340</v>
      </c>
      <c r="C9" s="24"/>
      <c r="D9" s="24"/>
      <c r="E9" s="24"/>
      <c r="F9" s="24"/>
    </row>
    <row r="10" spans="1:6" ht="48" customHeight="1" x14ac:dyDescent="0.25">
      <c r="A10" s="21" t="s">
        <v>341</v>
      </c>
      <c r="B10" s="29" t="s">
        <v>342</v>
      </c>
      <c r="C10" s="24"/>
      <c r="D10" s="24"/>
      <c r="E10" s="24"/>
      <c r="F10" s="24"/>
    </row>
    <row r="11" spans="1:6" ht="48" customHeight="1" x14ac:dyDescent="0.25">
      <c r="A11" s="21" t="s">
        <v>343</v>
      </c>
      <c r="B11" s="29" t="s">
        <v>344</v>
      </c>
      <c r="C11" s="24"/>
      <c r="D11" s="24"/>
      <c r="E11" s="24"/>
      <c r="F11" s="24"/>
    </row>
    <row r="12" spans="1:6" ht="48" customHeight="1" x14ac:dyDescent="0.25">
      <c r="A12" s="21" t="s">
        <v>345</v>
      </c>
      <c r="B12" s="29" t="s">
        <v>346</v>
      </c>
      <c r="C12" s="24"/>
      <c r="D12" s="24"/>
      <c r="E12" s="24"/>
      <c r="F12" s="24"/>
    </row>
    <row r="14" spans="1:6" x14ac:dyDescent="0.25">
      <c r="A14" s="22" t="s">
        <v>347</v>
      </c>
      <c r="B14" s="29" t="s">
        <v>348</v>
      </c>
      <c r="C14" s="24"/>
      <c r="D14" s="24"/>
      <c r="E14" s="24"/>
      <c r="F14" s="24"/>
    </row>
    <row r="15" spans="1:6" x14ac:dyDescent="0.25">
      <c r="B15" s="24"/>
      <c r="C15" s="24"/>
      <c r="D15" s="24"/>
      <c r="E15" s="24"/>
      <c r="F15" s="24"/>
    </row>
    <row r="16" spans="1:6" x14ac:dyDescent="0.25">
      <c r="B16" s="24"/>
      <c r="C16" s="24"/>
      <c r="D16" s="24"/>
      <c r="E16" s="24"/>
      <c r="F16" s="24"/>
    </row>
  </sheetData>
  <mergeCells count="12">
    <mergeCell ref="A1:F1"/>
    <mergeCell ref="B11:F11"/>
    <mergeCell ref="B3:F3"/>
    <mergeCell ref="B5:F5"/>
    <mergeCell ref="B14:F16"/>
    <mergeCell ref="B8:F8"/>
    <mergeCell ref="B9:F9"/>
    <mergeCell ref="B4:F4"/>
    <mergeCell ref="B12:F12"/>
    <mergeCell ref="B7:F7"/>
    <mergeCell ref="B6:F6"/>
    <mergeCell ref="B10:F10"/>
  </mergeCells>
  <pageMargins left="0.75" right="0.75" top="1" bottom="1" header="0.5" footer="0.5"/>
  <pageSetup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12"/>
  <sheetViews>
    <sheetView workbookViewId="0"/>
  </sheetViews>
  <sheetFormatPr defaultRowHeight="15" x14ac:dyDescent="0.25"/>
  <sheetData>
    <row r="1" spans="1:5" x14ac:dyDescent="0.25">
      <c r="A1" t="s">
        <v>44</v>
      </c>
      <c r="B1" t="s">
        <v>349</v>
      </c>
      <c r="D1" t="s">
        <v>38</v>
      </c>
      <c r="E1" t="s">
        <v>350</v>
      </c>
    </row>
    <row r="2" spans="1:5" x14ac:dyDescent="0.25">
      <c r="A2" t="s">
        <v>16</v>
      </c>
      <c r="B2">
        <f>COUNTIF('Task Tracker'!H:H,A2)</f>
        <v>7</v>
      </c>
      <c r="D2" t="s">
        <v>160</v>
      </c>
      <c r="E2">
        <f>AVERAGEIF('Task Tracker'!B:B,D2,'Task Tracker'!I:I)</f>
        <v>0.3833333333333333</v>
      </c>
    </row>
    <row r="3" spans="1:5" x14ac:dyDescent="0.25">
      <c r="A3" t="s">
        <v>73</v>
      </c>
      <c r="B3">
        <f>COUNTIF('Task Tracker'!H:H,A3)</f>
        <v>13</v>
      </c>
      <c r="D3" t="s">
        <v>148</v>
      </c>
      <c r="E3">
        <f>AVERAGEIF('Task Tracker'!B:B,D3,'Task Tracker'!I:I)</f>
        <v>0.41</v>
      </c>
    </row>
    <row r="4" spans="1:5" x14ac:dyDescent="0.25">
      <c r="A4" t="s">
        <v>18</v>
      </c>
      <c r="B4">
        <f>COUNTIF('Task Tracker'!H:H,A4)</f>
        <v>2</v>
      </c>
      <c r="D4" t="s">
        <v>89</v>
      </c>
      <c r="E4">
        <f>AVERAGEIF('Task Tracker'!B:B,D4,'Task Tracker'!I:I)</f>
        <v>0.82499999999999996</v>
      </c>
    </row>
    <row r="5" spans="1:5" x14ac:dyDescent="0.25">
      <c r="A5" t="s">
        <v>156</v>
      </c>
      <c r="B5">
        <f>COUNTIF('Task Tracker'!H:H,A5)</f>
        <v>6</v>
      </c>
      <c r="D5" t="s">
        <v>63</v>
      </c>
      <c r="E5">
        <f>AVERAGEIF('Task Tracker'!B:B,D5,'Task Tracker'!I:I)</f>
        <v>0.89250000000000007</v>
      </c>
    </row>
    <row r="6" spans="1:5" x14ac:dyDescent="0.25">
      <c r="D6" t="s">
        <v>177</v>
      </c>
      <c r="E6">
        <f>AVERAGEIF('Task Tracker'!B:B,D6,'Task Tracker'!I:I)</f>
        <v>0.45</v>
      </c>
    </row>
    <row r="7" spans="1:5" x14ac:dyDescent="0.25">
      <c r="D7" t="s">
        <v>78</v>
      </c>
      <c r="E7">
        <f>AVERAGEIF('Task Tracker'!B:B,D7,'Task Tracker'!I:I)</f>
        <v>0.89</v>
      </c>
    </row>
    <row r="8" spans="1:5" x14ac:dyDescent="0.25">
      <c r="D8" t="s">
        <v>54</v>
      </c>
      <c r="E8">
        <f>AVERAGEIF('Task Tracker'!B:B,D8,'Task Tracker'!I:I)</f>
        <v>0.60000000000000009</v>
      </c>
    </row>
    <row r="9" spans="1:5" x14ac:dyDescent="0.25">
      <c r="D9" t="s">
        <v>133</v>
      </c>
      <c r="E9">
        <f>AVERAGEIF('Task Tracker'!B:B,D9,'Task Tracker'!I:I)</f>
        <v>0.68333333333333324</v>
      </c>
    </row>
    <row r="10" spans="1:5" x14ac:dyDescent="0.25">
      <c r="D10" t="s">
        <v>205</v>
      </c>
      <c r="E10">
        <f>AVERAGEIF('Task Tracker'!B:B,D10,'Task Tracker'!I:I)</f>
        <v>0</v>
      </c>
    </row>
    <row r="11" spans="1:5" x14ac:dyDescent="0.25">
      <c r="D11" t="s">
        <v>112</v>
      </c>
      <c r="E11">
        <f>AVERAGEIF('Task Tracker'!B:B,D11,'Task Tracker'!I:I)</f>
        <v>0.35</v>
      </c>
    </row>
    <row r="12" spans="1:5" x14ac:dyDescent="0.25">
      <c r="D12" t="s">
        <v>121</v>
      </c>
      <c r="E12">
        <f>AVERAGEIF('Task Tracker'!B:B,D12,'Task Tracker'!I:I)</f>
        <v>0.7</v>
      </c>
    </row>
  </sheetData>
  <pageMargins left="0.75" right="0.75" top="1" bottom="1" header="0.5" footer="0.5"/>
  <pageSetup fitToHeight="0"/>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Overview</vt:lpstr>
      <vt:lpstr>Task Tracker</vt:lpstr>
      <vt:lpstr>Milestones</vt:lpstr>
      <vt:lpstr>Risks &amp; Issues</vt:lpstr>
      <vt:lpstr>Weekly Updates</vt:lpstr>
      <vt:lpstr>Prompt Lab</vt:lpstr>
      <vt:lpstr>_Chart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Vassilis Ioannidis</dc:creator>
  <cp:keywords/>
  <dc:description/>
  <cp:lastModifiedBy>Vassilis Ioannidis</cp:lastModifiedBy>
  <cp:revision/>
  <dcterms:created xsi:type="dcterms:W3CDTF">2026-10-01T04:13:38Z</dcterms:created>
  <dcterms:modified xsi:type="dcterms:W3CDTF">2026-10-01T05:02:03Z</dcterms:modified>
  <cp:category/>
  <cp:contentStatus/>
</cp:coreProperties>
</file>