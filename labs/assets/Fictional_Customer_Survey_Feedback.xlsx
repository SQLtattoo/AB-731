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emos\AB-730-Labs\assets\"/>
    </mc:Choice>
  </mc:AlternateContent>
  <xr:revisionPtr revIDLastSave="0" documentId="13_ncr:101_{C5741413-F8C8-48FE-8863-38F831B8C0FF}" xr6:coauthVersionLast="47" xr6:coauthVersionMax="47" xr10:uidLastSave="{00000000-0000-0000-0000-000000000000}"/>
  <bookViews>
    <workbookView xWindow="41430" yWindow="3030" windowWidth="28800" windowHeight="15825" xr2:uid="{00000000-000D-0000-FFFF-FFFF00000000}"/>
  </bookViews>
  <sheets>
    <sheet name="Survey Responses" sheetId="1" r:id="rId1"/>
    <sheet name="Quick Summary" sheetId="2" r:id="rId2"/>
  </sheet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E7" i="2"/>
  <c r="B7" i="2"/>
  <c r="E6" i="2"/>
  <c r="B6" i="2"/>
  <c r="E5" i="2"/>
  <c r="B5" i="2"/>
  <c r="B4" i="2"/>
</calcChain>
</file>

<file path=xl/sharedStrings.xml><?xml version="1.0" encoding="utf-8"?>
<sst xmlns="http://schemas.openxmlformats.org/spreadsheetml/2006/main" count="152" uniqueCount="98">
  <si>
    <t>Response ID</t>
  </si>
  <si>
    <t>Date</t>
  </si>
  <si>
    <t>Customer Segment</t>
  </si>
  <si>
    <t>Region</t>
  </si>
  <si>
    <t>Channel</t>
  </si>
  <si>
    <t>Overall Rating</t>
  </si>
  <si>
    <t>Ease of Use</t>
  </si>
  <si>
    <t>Case Visibility</t>
  </si>
  <si>
    <t>Support Experience</t>
  </si>
  <si>
    <t>Would Recommend</t>
  </si>
  <si>
    <t>Primary Theme</t>
  </si>
  <si>
    <t>Customer Comment</t>
  </si>
  <si>
    <t>SR-001</t>
  </si>
  <si>
    <t>Small Business</t>
  </si>
  <si>
    <t>UK</t>
  </si>
  <si>
    <t>Web</t>
  </si>
  <si>
    <t>Yes</t>
  </si>
  <si>
    <t>Case visibility</t>
  </si>
  <si>
    <t>I can finally see where my support case is without calling anyone.</t>
  </si>
  <si>
    <t>SR-002</t>
  </si>
  <si>
    <t>Enterprise</t>
  </si>
  <si>
    <t>Germany</t>
  </si>
  <si>
    <t>Maybe</t>
  </si>
  <si>
    <t>Status detail</t>
  </si>
  <si>
    <t>The portal is clean, but the case status does not explain what the team is waiting for.</t>
  </si>
  <si>
    <t>SR-003</t>
  </si>
  <si>
    <t>Mid-market</t>
  </si>
  <si>
    <t>France</t>
  </si>
  <si>
    <t>Mobile</t>
  </si>
  <si>
    <t>Mobile experience</t>
  </si>
  <si>
    <t>The mobile view worked well and I found my open cases quickly.</t>
  </si>
  <si>
    <t>SR-004</t>
  </si>
  <si>
    <t>Spain</t>
  </si>
  <si>
    <t>No</t>
  </si>
  <si>
    <t>Sign-in</t>
  </si>
  <si>
    <t>I had to sign in twice before the dashboard loaded.</t>
  </si>
  <si>
    <t>SR-005</t>
  </si>
  <si>
    <t>Netherlands</t>
  </si>
  <si>
    <t>Ease of use</t>
  </si>
  <si>
    <t>Much easier to navigate than the previous support site.</t>
  </si>
  <si>
    <t>SR-006</t>
  </si>
  <si>
    <t>Italy</t>
  </si>
  <si>
    <t>Search</t>
  </si>
  <si>
    <t>Search found the case, but the filters reset when I returned to the page.</t>
  </si>
  <si>
    <t>SR-007</t>
  </si>
  <si>
    <t>Sweden</t>
  </si>
  <si>
    <t>Support experience</t>
  </si>
  <si>
    <t>The article recommendation solved the issue before I needed to open a case.</t>
  </si>
  <si>
    <t>SR-008</t>
  </si>
  <si>
    <t>Ireland</t>
  </si>
  <si>
    <t>Notifications</t>
  </si>
  <si>
    <t>Case updates are useful. Email notifications arrived later than the portal update.</t>
  </si>
  <si>
    <t>SR-009</t>
  </si>
  <si>
    <t>Belgium</t>
  </si>
  <si>
    <t>Performance</t>
  </si>
  <si>
    <t>The case history took too long to load on my phone.</t>
  </si>
  <si>
    <t>SR-010</t>
  </si>
  <si>
    <t>Denmark</t>
  </si>
  <si>
    <t>Good overview, but I would like to see the name of the team handling the case.</t>
  </si>
  <si>
    <t>SR-011</t>
  </si>
  <si>
    <t>Portugal</t>
  </si>
  <si>
    <t>Content</t>
  </si>
  <si>
    <t>The help articles are useful, although a few screenshots look out of date.</t>
  </si>
  <si>
    <t>SR-012</t>
  </si>
  <si>
    <t>Austria</t>
  </si>
  <si>
    <t>Submitting a case was straightforward and the confirmation was clear.</t>
  </si>
  <si>
    <t>SR-013</t>
  </si>
  <si>
    <t>Finland</t>
  </si>
  <si>
    <t>Accessibility</t>
  </si>
  <si>
    <t>Text was readable, but keyboard navigation was inconsistent on one form.</t>
  </si>
  <si>
    <t>SR-014</t>
  </si>
  <si>
    <t>Greece</t>
  </si>
  <si>
    <t>The support response was excellent. The portal could show clearer expected response times.</t>
  </si>
  <si>
    <t>SR-015</t>
  </si>
  <si>
    <t>Poland</t>
  </si>
  <si>
    <t>Missing history</t>
  </si>
  <si>
    <t>Older case notes were missing, so I still had to contact support.</t>
  </si>
  <si>
    <t>SR-016</t>
  </si>
  <si>
    <t>Norway</t>
  </si>
  <si>
    <t>Reporting</t>
  </si>
  <si>
    <t>The dashboard is helpful. An export option would make reviews easier.</t>
  </si>
  <si>
    <t>SR-017</t>
  </si>
  <si>
    <t>Czechia</t>
  </si>
  <si>
    <t>The screen is simple, but the session expired while I was writing a longer description.</t>
  </si>
  <si>
    <t>SR-018</t>
  </si>
  <si>
    <t>Switzerland</t>
  </si>
  <si>
    <t>Fast, clear, and much better than sending updates by email.</t>
  </si>
  <si>
    <t>FICTIONAL CUSTOMER SURVEY | QUICK SUMMARY</t>
  </si>
  <si>
    <t>Training dataset only. All responses are fictional.</t>
  </si>
  <si>
    <t>Responses</t>
  </si>
  <si>
    <t>Response</t>
  </si>
  <si>
    <t>Count</t>
  </si>
  <si>
    <t>Average overall rating</t>
  </si>
  <si>
    <t>Recommend: Yes</t>
  </si>
  <si>
    <t>Recommend: Maybe</t>
  </si>
  <si>
    <t>Recommend: No</t>
  </si>
  <si>
    <t>Suggested Copilot prompt</t>
  </si>
  <si>
    <t>Analyze the fictional survey responses. Summarize the main positive and negative themes, support each theme with ratings and representative comments, identify the three most important improvements, and clearly separate evidence from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</si>
</sst>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numFmt numFmtId="165" formatCode="0.0"/>
  </numFmts>
  <fonts count="6" x14ac:knownFonts="1">
    <font>
      <sz val="11"/>
      <color theme="1"/>
      <name val="Calibri"/>
      <family val="2"/>
      <scheme val="minor"/>
    </font>
    <font>
      <b/>
      <sz val="11"/>
      <color rgb="FFFFFFFF"/>
      <name val="Calibri"/>
    </font>
    <font>
      <b/>
      <sz val="16"/>
      <color rgb="FFFFFFFF"/>
      <name val="Calibri"/>
    </font>
    <font>
      <i/>
      <sz val="11"/>
      <color rgb="FF666666"/>
      <name val="Calibri"/>
    </font>
    <font>
      <b/>
      <sz val="11"/>
      <color rgb="FF17365D"/>
      <name val="Calibri"/>
    </font>
    <font>
      <b/>
      <sz val="14"/>
      <color rgb="FF0078D4"/>
      <name val="Calibri"/>
    </font>
  </fonts>
  <fills count="4">
    <fill>
      <patternFill patternType="none"/>
    </fill>
    <fill>
      <patternFill patternType="gray125"/>
    </fill>
    <fill>
      <patternFill patternType="solid">
        <fgColor rgb="FF17365D"/>
      </patternFill>
    </fill>
    <fill>
      <patternFill patternType="solid">
        <fgColor rgb="FF0078D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wrapText="1"/>
    </xf>
    <xf numFmtId="0" fontId="0" fillId="0" borderId="0" xfId="0" applyAlignment="1">
      <alignment vertical="top" wrapText="1"/>
    </xf>
    <xf numFmtId="164" fontId="0" fillId="0" borderId="0" xfId="0" applyNumberFormat="1" applyAlignment="1">
      <alignment vertical="top" wrapText="1"/>
    </xf>
    <xf numFmtId="0" fontId="3" fillId="0" borderId="0" xfId="0" applyFont="1"/>
    <xf numFmtId="0" fontId="4" fillId="0" borderId="0" xfId="0" applyFont="1"/>
    <xf numFmtId="0" fontId="5" fillId="0" borderId="0" xfId="0" applyFont="1"/>
    <xf numFmtId="165" fontId="5" fillId="0" borderId="0" xfId="0" applyNumberFormat="1" applyFont="1"/>
    <xf numFmtId="0" fontId="1" fillId="3" borderId="0" xfId="0" applyFont="1" applyFill="1"/>
    <xf numFmtId="0" fontId="2" fillId="2" borderId="0" xfId="0" applyFont="1" applyFill="1"/>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Recommendation response</a:t>
            </a:r>
          </a:p>
        </c:rich>
      </c:tx>
      <c:overlay val="1"/>
    </c:title>
    <c:autoTitleDeleted val="0"/>
    <c:plotArea>
      <c:layout/>
      <c:barChart>
        <c:barDir val="col"/>
        <c:grouping val="clustered"/>
        <c:varyColors val="1"/>
        <c:ser>
          <c:idx val="0"/>
          <c:order val="0"/>
          <c:tx>
            <c:strRef>
              <c:f>'Quick Summary'!$E$4</c:f>
              <c:strCache>
                <c:ptCount val="1"/>
                <c:pt idx="0">
                  <c:v>Count</c:v>
                </c:pt>
              </c:strCache>
            </c:strRef>
          </c:tx>
          <c:spPr>
            <a:ln>
              <a:prstDash val="solid"/>
            </a:ln>
          </c:spPr>
          <c:invertIfNegative val="1"/>
          <c:cat>
            <c:strRef>
              <c:f>'Quick Summary'!$D$5:$D$7</c:f>
              <c:strCache>
                <c:ptCount val="3"/>
                <c:pt idx="0">
                  <c:v>Yes</c:v>
                </c:pt>
                <c:pt idx="1">
                  <c:v>Maybe</c:v>
                </c:pt>
                <c:pt idx="2">
                  <c:v>No</c:v>
                </c:pt>
              </c:strCache>
            </c:strRef>
          </c:cat>
          <c:val>
            <c:numRef>
              <c:f>'Quick Summary'!$E$5:$E$7</c:f>
              <c:numCache>
                <c:formatCode>General</c:formatCode>
                <c:ptCount val="3"/>
                <c:pt idx="0">
                  <c:v>10</c:v>
                </c:pt>
                <c:pt idx="1">
                  <c:v>5</c:v>
                </c:pt>
                <c:pt idx="2">
                  <c:v>3</c:v>
                </c:pt>
              </c:numCache>
            </c:numRef>
          </c:val>
          <c:extLst>
            <c:ext xmlns:c16="http://schemas.microsoft.com/office/drawing/2014/chart" uri="{C3380CC4-5D6E-409C-BE32-E72D297353CC}">
              <c16:uniqueId val="{00000000-C74C-4B33-A9FB-819E4C75889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8</xdr:row>
      <xdr:rowOff>0</xdr:rowOff>
    </xdr:from>
    <xdr:ext cx="3240000" cy="21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SurveyResponses" displayName="CustomerSurveyResponses" ref="A1:L19">
  <autoFilter ref="A1:L19" xr:uid="{00000000-0009-0000-0100-000001000000}"/>
  <tableColumns count="12">
    <tableColumn id="1" xr3:uid="{00000000-0010-0000-0000-000001000000}" name="Response ID"/>
    <tableColumn id="2" xr3:uid="{00000000-0010-0000-0000-000002000000}" name="Date"/>
    <tableColumn id="3" xr3:uid="{00000000-0010-0000-0000-000003000000}" name="Customer Segment"/>
    <tableColumn id="4" xr3:uid="{00000000-0010-0000-0000-000004000000}" name="Region"/>
    <tableColumn id="5" xr3:uid="{00000000-0010-0000-0000-000005000000}" name="Channel"/>
    <tableColumn id="6" xr3:uid="{00000000-0010-0000-0000-000006000000}" name="Overall Rating"/>
    <tableColumn id="7" xr3:uid="{00000000-0010-0000-0000-000007000000}" name="Ease of Use"/>
    <tableColumn id="8" xr3:uid="{00000000-0010-0000-0000-000008000000}" name="Case Visibility"/>
    <tableColumn id="9" xr3:uid="{00000000-0010-0000-0000-000009000000}" name="Support Experience"/>
    <tableColumn id="10" xr3:uid="{00000000-0010-0000-0000-00000A000000}" name="Would Recommend"/>
    <tableColumn id="11" xr3:uid="{00000000-0010-0000-0000-00000B000000}" name="Primary Theme"/>
    <tableColumn id="12" xr3:uid="{00000000-0010-0000-0000-00000C000000}" name="Customer 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tabSelected="1" workbookViewId="0">
      <pane ySplit="1" topLeftCell="A2" activePane="bottomLeft" state="frozen"/>
      <selection pane="bottomLeft"/>
    </sheetView>
  </sheetViews>
  <sheetFormatPr defaultRowHeight="15" x14ac:dyDescent="0.25"/>
  <cols>
    <col min="1" max="2" width="13" customWidth="1"/>
    <col min="3" max="3" width="18" customWidth="1"/>
    <col min="4" max="4" width="15" customWidth="1"/>
    <col min="5" max="5" width="11" customWidth="1"/>
    <col min="6" max="6" width="15" customWidth="1"/>
    <col min="7" max="7" width="13" customWidth="1"/>
    <col min="8" max="8" width="15" customWidth="1"/>
    <col min="9" max="10" width="18" customWidth="1"/>
    <col min="11" max="11" width="20" customWidth="1"/>
    <col min="12" max="12" width="66"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v>46273</v>
      </c>
      <c r="C2" s="2" t="s">
        <v>13</v>
      </c>
      <c r="D2" s="2" t="s">
        <v>14</v>
      </c>
      <c r="E2" s="2" t="s">
        <v>15</v>
      </c>
      <c r="F2" s="2">
        <v>5</v>
      </c>
      <c r="G2" s="2">
        <v>5</v>
      </c>
      <c r="H2" s="2">
        <v>5</v>
      </c>
      <c r="I2" s="2">
        <v>4</v>
      </c>
      <c r="J2" s="2" t="s">
        <v>16</v>
      </c>
      <c r="K2" s="2" t="s">
        <v>17</v>
      </c>
      <c r="L2" s="2" t="s">
        <v>18</v>
      </c>
    </row>
    <row r="3" spans="1:12" ht="30" x14ac:dyDescent="0.25">
      <c r="A3" s="2" t="s">
        <v>19</v>
      </c>
      <c r="B3" s="3">
        <v>46274</v>
      </c>
      <c r="C3" s="2" t="s">
        <v>20</v>
      </c>
      <c r="D3" s="2" t="s">
        <v>21</v>
      </c>
      <c r="E3" s="2" t="s">
        <v>15</v>
      </c>
      <c r="F3" s="2">
        <v>3</v>
      </c>
      <c r="G3" s="2">
        <v>4</v>
      </c>
      <c r="H3" s="2">
        <v>2</v>
      </c>
      <c r="I3" s="2">
        <v>3</v>
      </c>
      <c r="J3" s="2" t="s">
        <v>22</v>
      </c>
      <c r="K3" s="2" t="s">
        <v>23</v>
      </c>
      <c r="L3" s="2" t="s">
        <v>24</v>
      </c>
    </row>
    <row r="4" spans="1:12" x14ac:dyDescent="0.25">
      <c r="A4" s="2" t="s">
        <v>25</v>
      </c>
      <c r="B4" s="3">
        <v>46275</v>
      </c>
      <c r="C4" s="2" t="s">
        <v>26</v>
      </c>
      <c r="D4" s="2" t="s">
        <v>27</v>
      </c>
      <c r="E4" s="2" t="s">
        <v>28</v>
      </c>
      <c r="F4" s="2">
        <v>4</v>
      </c>
      <c r="G4" s="2">
        <v>4</v>
      </c>
      <c r="H4" s="2">
        <v>4</v>
      </c>
      <c r="I4" s="2">
        <v>4</v>
      </c>
      <c r="J4" s="2" t="s">
        <v>16</v>
      </c>
      <c r="K4" s="2" t="s">
        <v>29</v>
      </c>
      <c r="L4" s="2" t="s">
        <v>30</v>
      </c>
    </row>
    <row r="5" spans="1:12" x14ac:dyDescent="0.25">
      <c r="A5" s="2" t="s">
        <v>31</v>
      </c>
      <c r="B5" s="3">
        <v>46276</v>
      </c>
      <c r="C5" s="2" t="s">
        <v>13</v>
      </c>
      <c r="D5" s="2" t="s">
        <v>32</v>
      </c>
      <c r="E5" s="2" t="s">
        <v>15</v>
      </c>
      <c r="F5" s="2">
        <v>2</v>
      </c>
      <c r="G5" s="2">
        <v>2</v>
      </c>
      <c r="H5" s="2">
        <v>3</v>
      </c>
      <c r="I5" s="2">
        <v>2</v>
      </c>
      <c r="J5" s="2" t="s">
        <v>33</v>
      </c>
      <c r="K5" s="2" t="s">
        <v>34</v>
      </c>
      <c r="L5" s="2" t="s">
        <v>35</v>
      </c>
    </row>
    <row r="6" spans="1:12" x14ac:dyDescent="0.25">
      <c r="A6" s="2" t="s">
        <v>36</v>
      </c>
      <c r="B6" s="3">
        <v>46277</v>
      </c>
      <c r="C6" s="2" t="s">
        <v>20</v>
      </c>
      <c r="D6" s="2" t="s">
        <v>37</v>
      </c>
      <c r="E6" s="2" t="s">
        <v>15</v>
      </c>
      <c r="F6" s="2">
        <v>4</v>
      </c>
      <c r="G6" s="2">
        <v>5</v>
      </c>
      <c r="H6" s="2">
        <v>4</v>
      </c>
      <c r="I6" s="2">
        <v>4</v>
      </c>
      <c r="J6" s="2" t="s">
        <v>16</v>
      </c>
      <c r="K6" s="2" t="s">
        <v>38</v>
      </c>
      <c r="L6" s="2" t="s">
        <v>39</v>
      </c>
    </row>
    <row r="7" spans="1:12" x14ac:dyDescent="0.25">
      <c r="A7" s="2" t="s">
        <v>40</v>
      </c>
      <c r="B7" s="3">
        <v>46278</v>
      </c>
      <c r="C7" s="2" t="s">
        <v>26</v>
      </c>
      <c r="D7" s="2" t="s">
        <v>41</v>
      </c>
      <c r="E7" s="2" t="s">
        <v>28</v>
      </c>
      <c r="F7" s="2">
        <v>3</v>
      </c>
      <c r="G7" s="2">
        <v>3</v>
      </c>
      <c r="H7" s="2">
        <v>3</v>
      </c>
      <c r="I7" s="2">
        <v>4</v>
      </c>
      <c r="J7" s="2" t="s">
        <v>22</v>
      </c>
      <c r="K7" s="2" t="s">
        <v>42</v>
      </c>
      <c r="L7" s="2" t="s">
        <v>43</v>
      </c>
    </row>
    <row r="8" spans="1:12" ht="30" x14ac:dyDescent="0.25">
      <c r="A8" s="2" t="s">
        <v>44</v>
      </c>
      <c r="B8" s="3">
        <v>46280</v>
      </c>
      <c r="C8" s="2" t="s">
        <v>20</v>
      </c>
      <c r="D8" s="2" t="s">
        <v>45</v>
      </c>
      <c r="E8" s="2" t="s">
        <v>15</v>
      </c>
      <c r="F8" s="2">
        <v>5</v>
      </c>
      <c r="G8" s="2">
        <v>5</v>
      </c>
      <c r="H8" s="2">
        <v>4</v>
      </c>
      <c r="I8" s="2">
        <v>5</v>
      </c>
      <c r="J8" s="2" t="s">
        <v>16</v>
      </c>
      <c r="K8" s="2" t="s">
        <v>46</v>
      </c>
      <c r="L8" s="2" t="s">
        <v>47</v>
      </c>
    </row>
    <row r="9" spans="1:12" ht="30" x14ac:dyDescent="0.25">
      <c r="A9" s="2" t="s">
        <v>48</v>
      </c>
      <c r="B9" s="3">
        <v>46281</v>
      </c>
      <c r="C9" s="2" t="s">
        <v>13</v>
      </c>
      <c r="D9" s="2" t="s">
        <v>49</v>
      </c>
      <c r="E9" s="2" t="s">
        <v>15</v>
      </c>
      <c r="F9" s="2">
        <v>4</v>
      </c>
      <c r="G9" s="2">
        <v>4</v>
      </c>
      <c r="H9" s="2">
        <v>5</v>
      </c>
      <c r="I9" s="2">
        <v>3</v>
      </c>
      <c r="J9" s="2" t="s">
        <v>16</v>
      </c>
      <c r="K9" s="2" t="s">
        <v>50</v>
      </c>
      <c r="L9" s="2" t="s">
        <v>51</v>
      </c>
    </row>
    <row r="10" spans="1:12" x14ac:dyDescent="0.25">
      <c r="A10" s="2" t="s">
        <v>52</v>
      </c>
      <c r="B10" s="3">
        <v>46283</v>
      </c>
      <c r="C10" s="2" t="s">
        <v>26</v>
      </c>
      <c r="D10" s="2" t="s">
        <v>53</v>
      </c>
      <c r="E10" s="2" t="s">
        <v>28</v>
      </c>
      <c r="F10" s="2">
        <v>2</v>
      </c>
      <c r="G10" s="2">
        <v>3</v>
      </c>
      <c r="H10" s="2">
        <v>2</v>
      </c>
      <c r="I10" s="2">
        <v>2</v>
      </c>
      <c r="J10" s="2" t="s">
        <v>33</v>
      </c>
      <c r="K10" s="2" t="s">
        <v>54</v>
      </c>
      <c r="L10" s="2" t="s">
        <v>55</v>
      </c>
    </row>
    <row r="11" spans="1:12" ht="30" x14ac:dyDescent="0.25">
      <c r="A11" s="2" t="s">
        <v>56</v>
      </c>
      <c r="B11" s="3">
        <v>46284</v>
      </c>
      <c r="C11" s="2" t="s">
        <v>20</v>
      </c>
      <c r="D11" s="2" t="s">
        <v>57</v>
      </c>
      <c r="E11" s="2" t="s">
        <v>15</v>
      </c>
      <c r="F11" s="2">
        <v>4</v>
      </c>
      <c r="G11" s="2">
        <v>4</v>
      </c>
      <c r="H11" s="2">
        <v>4</v>
      </c>
      <c r="I11" s="2">
        <v>4</v>
      </c>
      <c r="J11" s="2" t="s">
        <v>16</v>
      </c>
      <c r="K11" s="2" t="s">
        <v>17</v>
      </c>
      <c r="L11" s="2" t="s">
        <v>58</v>
      </c>
    </row>
    <row r="12" spans="1:12" ht="30" x14ac:dyDescent="0.25">
      <c r="A12" s="2" t="s">
        <v>59</v>
      </c>
      <c r="B12" s="3">
        <v>46286</v>
      </c>
      <c r="C12" s="2" t="s">
        <v>13</v>
      </c>
      <c r="D12" s="2" t="s">
        <v>60</v>
      </c>
      <c r="E12" s="2" t="s">
        <v>15</v>
      </c>
      <c r="F12" s="2">
        <v>3</v>
      </c>
      <c r="G12" s="2">
        <v>4</v>
      </c>
      <c r="H12" s="2">
        <v>3</v>
      </c>
      <c r="I12" s="2">
        <v>3</v>
      </c>
      <c r="J12" s="2" t="s">
        <v>22</v>
      </c>
      <c r="K12" s="2" t="s">
        <v>61</v>
      </c>
      <c r="L12" s="2" t="s">
        <v>62</v>
      </c>
    </row>
    <row r="13" spans="1:12" x14ac:dyDescent="0.25">
      <c r="A13" s="2" t="s">
        <v>63</v>
      </c>
      <c r="B13" s="3">
        <v>46287</v>
      </c>
      <c r="C13" s="2" t="s">
        <v>26</v>
      </c>
      <c r="D13" s="2" t="s">
        <v>64</v>
      </c>
      <c r="E13" s="2" t="s">
        <v>15</v>
      </c>
      <c r="F13" s="2">
        <v>5</v>
      </c>
      <c r="G13" s="2">
        <v>5</v>
      </c>
      <c r="H13" s="2">
        <v>5</v>
      </c>
      <c r="I13" s="2">
        <v>4</v>
      </c>
      <c r="J13" s="2" t="s">
        <v>16</v>
      </c>
      <c r="K13" s="2" t="s">
        <v>38</v>
      </c>
      <c r="L13" s="2" t="s">
        <v>65</v>
      </c>
    </row>
    <row r="14" spans="1:12" ht="30" x14ac:dyDescent="0.25">
      <c r="A14" s="2" t="s">
        <v>66</v>
      </c>
      <c r="B14" s="3">
        <v>46289</v>
      </c>
      <c r="C14" s="2" t="s">
        <v>20</v>
      </c>
      <c r="D14" s="2" t="s">
        <v>67</v>
      </c>
      <c r="E14" s="2" t="s">
        <v>28</v>
      </c>
      <c r="F14" s="2">
        <v>3</v>
      </c>
      <c r="G14" s="2">
        <v>3</v>
      </c>
      <c r="H14" s="2">
        <v>4</v>
      </c>
      <c r="I14" s="2">
        <v>3</v>
      </c>
      <c r="J14" s="2" t="s">
        <v>22</v>
      </c>
      <c r="K14" s="2" t="s">
        <v>68</v>
      </c>
      <c r="L14" s="2" t="s">
        <v>69</v>
      </c>
    </row>
    <row r="15" spans="1:12" ht="30" x14ac:dyDescent="0.25">
      <c r="A15" s="2" t="s">
        <v>70</v>
      </c>
      <c r="B15" s="3">
        <v>46290</v>
      </c>
      <c r="C15" s="2" t="s">
        <v>13</v>
      </c>
      <c r="D15" s="2" t="s">
        <v>71</v>
      </c>
      <c r="E15" s="2" t="s">
        <v>15</v>
      </c>
      <c r="F15" s="2">
        <v>4</v>
      </c>
      <c r="G15" s="2">
        <v>4</v>
      </c>
      <c r="H15" s="2">
        <v>3</v>
      </c>
      <c r="I15" s="2">
        <v>5</v>
      </c>
      <c r="J15" s="2" t="s">
        <v>16</v>
      </c>
      <c r="K15" s="2" t="s">
        <v>46</v>
      </c>
      <c r="L15" s="2" t="s">
        <v>72</v>
      </c>
    </row>
    <row r="16" spans="1:12" x14ac:dyDescent="0.25">
      <c r="A16" s="2" t="s">
        <v>73</v>
      </c>
      <c r="B16" s="3">
        <v>46292</v>
      </c>
      <c r="C16" s="2" t="s">
        <v>26</v>
      </c>
      <c r="D16" s="2" t="s">
        <v>74</v>
      </c>
      <c r="E16" s="2" t="s">
        <v>15</v>
      </c>
      <c r="F16" s="2">
        <v>1</v>
      </c>
      <c r="G16" s="2">
        <v>2</v>
      </c>
      <c r="H16" s="2">
        <v>1</v>
      </c>
      <c r="I16" s="2">
        <v>2</v>
      </c>
      <c r="J16" s="2" t="s">
        <v>33</v>
      </c>
      <c r="K16" s="2" t="s">
        <v>75</v>
      </c>
      <c r="L16" s="2" t="s">
        <v>76</v>
      </c>
    </row>
    <row r="17" spans="1:12" x14ac:dyDescent="0.25">
      <c r="A17" s="2" t="s">
        <v>77</v>
      </c>
      <c r="B17" s="3">
        <v>46293</v>
      </c>
      <c r="C17" s="2" t="s">
        <v>20</v>
      </c>
      <c r="D17" s="2" t="s">
        <v>78</v>
      </c>
      <c r="E17" s="2" t="s">
        <v>15</v>
      </c>
      <c r="F17" s="2">
        <v>4</v>
      </c>
      <c r="G17" s="2">
        <v>5</v>
      </c>
      <c r="H17" s="2">
        <v>4</v>
      </c>
      <c r="I17" s="2">
        <v>4</v>
      </c>
      <c r="J17" s="2" t="s">
        <v>16</v>
      </c>
      <c r="K17" s="2" t="s">
        <v>79</v>
      </c>
      <c r="L17" s="2" t="s">
        <v>80</v>
      </c>
    </row>
    <row r="18" spans="1:12" ht="30" x14ac:dyDescent="0.25">
      <c r="A18" s="2" t="s">
        <v>81</v>
      </c>
      <c r="B18" s="3">
        <v>46294</v>
      </c>
      <c r="C18" s="2" t="s">
        <v>13</v>
      </c>
      <c r="D18" s="2" t="s">
        <v>82</v>
      </c>
      <c r="E18" s="2" t="s">
        <v>28</v>
      </c>
      <c r="F18" s="2">
        <v>3</v>
      </c>
      <c r="G18" s="2">
        <v>3</v>
      </c>
      <c r="H18" s="2">
        <v>3</v>
      </c>
      <c r="I18" s="2">
        <v>3</v>
      </c>
      <c r="J18" s="2" t="s">
        <v>22</v>
      </c>
      <c r="K18" s="2" t="s">
        <v>34</v>
      </c>
      <c r="L18" s="2" t="s">
        <v>83</v>
      </c>
    </row>
    <row r="19" spans="1:12" x14ac:dyDescent="0.25">
      <c r="A19" s="2" t="s">
        <v>84</v>
      </c>
      <c r="B19" s="3">
        <v>46295</v>
      </c>
      <c r="C19" s="2" t="s">
        <v>26</v>
      </c>
      <c r="D19" s="2" t="s">
        <v>85</v>
      </c>
      <c r="E19" s="2" t="s">
        <v>15</v>
      </c>
      <c r="F19" s="2">
        <v>5</v>
      </c>
      <c r="G19" s="2">
        <v>5</v>
      </c>
      <c r="H19" s="2">
        <v>5</v>
      </c>
      <c r="I19" s="2">
        <v>5</v>
      </c>
      <c r="J19" s="2" t="s">
        <v>16</v>
      </c>
      <c r="K19" s="2" t="s">
        <v>38</v>
      </c>
      <c r="L19" s="2" t="s">
        <v>86</v>
      </c>
    </row>
  </sheetData>
  <conditionalFormatting sqref="F2:F19">
    <cfRule type="colorScale" priority="1">
      <colorScale>
        <cfvo type="num" val="1"/>
        <cfvo type="num" val="3"/>
        <cfvo type="num" val="5"/>
        <color rgb="FFF8696B"/>
        <color rgb="FFFFEB84"/>
        <color rgb="FF63BE7B"/>
      </colorScale>
    </cfRule>
  </conditionalFormatting>
  <conditionalFormatting sqref="G2:G19">
    <cfRule type="colorScale" priority="2">
      <colorScale>
        <cfvo type="num" val="1"/>
        <cfvo type="num" val="3"/>
        <cfvo type="num" val="5"/>
        <color rgb="FFF8696B"/>
        <color rgb="FFFFEB84"/>
        <color rgb="FF63BE7B"/>
      </colorScale>
    </cfRule>
  </conditionalFormatting>
  <conditionalFormatting sqref="H2:H19">
    <cfRule type="colorScale" priority="3">
      <colorScale>
        <cfvo type="num" val="1"/>
        <cfvo type="num" val="3"/>
        <cfvo type="num" val="5"/>
        <color rgb="FFF8696B"/>
        <color rgb="FFFFEB84"/>
        <color rgb="FF63BE7B"/>
      </colorScale>
    </cfRule>
  </conditionalFormatting>
  <conditionalFormatting sqref="I2:I19">
    <cfRule type="colorScale" priority="4">
      <colorScale>
        <cfvo type="num" val="1"/>
        <cfvo type="num" val="3"/>
        <cfvo type="num" val="5"/>
        <color rgb="FFF8696B"/>
        <color rgb="FFFFEB84"/>
        <color rgb="FF63BE7B"/>
      </colorScale>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showGridLines="0" workbookViewId="0"/>
  </sheetViews>
  <sheetFormatPr defaultRowHeight="15" x14ac:dyDescent="0.25"/>
  <cols>
    <col min="1" max="1" width="28" customWidth="1"/>
    <col min="2" max="6" width="18" customWidth="1"/>
  </cols>
  <sheetData>
    <row r="1" spans="1:6" ht="21" x14ac:dyDescent="0.35">
      <c r="A1" s="9" t="s">
        <v>87</v>
      </c>
      <c r="B1" s="10"/>
      <c r="C1" s="10"/>
      <c r="D1" s="10"/>
      <c r="E1" s="10"/>
      <c r="F1" s="10"/>
    </row>
    <row r="2" spans="1:6" x14ac:dyDescent="0.25">
      <c r="A2" s="4" t="s">
        <v>88</v>
      </c>
    </row>
    <row r="4" spans="1:6" ht="18.75" x14ac:dyDescent="0.3">
      <c r="A4" s="5" t="s">
        <v>89</v>
      </c>
      <c r="B4" s="6">
        <f>COUNTA('Survey Responses'!A2:A100)</f>
        <v>18</v>
      </c>
      <c r="D4" t="s">
        <v>90</v>
      </c>
      <c r="E4" t="s">
        <v>91</v>
      </c>
    </row>
    <row r="5" spans="1:6" ht="18.75" x14ac:dyDescent="0.3">
      <c r="A5" s="5" t="s">
        <v>92</v>
      </c>
      <c r="B5" s="7">
        <f>AVERAGE('Survey Responses'!F2:F100)</f>
        <v>3.5555555555555554</v>
      </c>
      <c r="D5" t="s">
        <v>16</v>
      </c>
      <c r="E5">
        <f>COUNTIF('Survey Responses'!J:J,D5)</f>
        <v>10</v>
      </c>
    </row>
    <row r="6" spans="1:6" ht="18.75" x14ac:dyDescent="0.3">
      <c r="A6" s="5" t="s">
        <v>93</v>
      </c>
      <c r="B6" s="6">
        <f>COUNTIF('Survey Responses'!J:J,"Yes")</f>
        <v>10</v>
      </c>
      <c r="D6" t="s">
        <v>22</v>
      </c>
      <c r="E6">
        <f>COUNTIF('Survey Responses'!J:J,D6)</f>
        <v>5</v>
      </c>
    </row>
    <row r="7" spans="1:6" ht="18.75" x14ac:dyDescent="0.3">
      <c r="A7" s="5" t="s">
        <v>94</v>
      </c>
      <c r="B7" s="6">
        <f>COUNTIF('Survey Responses'!J:J,"Maybe")</f>
        <v>5</v>
      </c>
      <c r="D7" t="s">
        <v>33</v>
      </c>
      <c r="E7">
        <f>COUNTIF('Survey Responses'!J:J,D7)</f>
        <v>3</v>
      </c>
    </row>
    <row r="8" spans="1:6" ht="18.75" x14ac:dyDescent="0.3">
      <c r="A8" s="5" t="s">
        <v>95</v>
      </c>
      <c r="B8" s="6">
        <f>COUNTIF('Survey Responses'!J:J,"No")</f>
        <v>3</v>
      </c>
    </row>
    <row r="11" spans="1:6" x14ac:dyDescent="0.25">
      <c r="A11" s="8" t="s">
        <v>96</v>
      </c>
    </row>
    <row r="12" spans="1:6" x14ac:dyDescent="0.25">
      <c r="A12" s="11" t="s">
        <v>97</v>
      </c>
      <c r="B12" s="10"/>
      <c r="C12" s="10"/>
      <c r="D12" s="10"/>
      <c r="E12" s="10"/>
      <c r="F12" s="10"/>
    </row>
    <row r="13" spans="1:6" x14ac:dyDescent="0.25">
      <c r="A13" s="10"/>
      <c r="B13" s="10"/>
      <c r="C13" s="10"/>
      <c r="D13" s="10"/>
      <c r="E13" s="10"/>
      <c r="F13" s="10"/>
    </row>
    <row r="14" spans="1:6" x14ac:dyDescent="0.25">
      <c r="A14" s="10"/>
      <c r="B14" s="10"/>
      <c r="C14" s="10"/>
      <c r="D14" s="10"/>
      <c r="E14" s="10"/>
      <c r="F14" s="10"/>
    </row>
    <row r="15" spans="1:6" x14ac:dyDescent="0.25">
      <c r="A15" s="10"/>
      <c r="B15" s="10"/>
      <c r="C15" s="10"/>
      <c r="D15" s="10"/>
      <c r="E15" s="10"/>
      <c r="F15" s="10"/>
    </row>
  </sheetData>
  <mergeCells count="2">
    <mergeCell ref="A1:F1"/>
    <mergeCell ref="A12:F15"/>
  </mergeCells>
  <pageMargins left="0.75" right="0.75" top="1" bottom="1" header="0.5" footer="0.5"/>
  <drawing r:id="rId1"/>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 Responses</vt:lpstr>
      <vt:lpstr>Quick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Vassilis Ioannidis</dc:creator>
  <cp:keywords/>
  <dc:description/>
  <cp:lastModifiedBy>Vassilis Ioannidis</cp:lastModifiedBy>
  <cp:revision/>
  <dcterms:created xsi:type="dcterms:W3CDTF">2026-10-01T04:18:08Z</dcterms:created>
  <dcterms:modified xsi:type="dcterms:W3CDTF">2026-10-01T05:02:22Z</dcterms:modified>
  <cp:category/>
  <cp:contentStatus/>
</cp:coreProperties>
</file>